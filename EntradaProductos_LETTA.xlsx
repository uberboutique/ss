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40" windowHeight="1310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<sst xmlns="http://schemas.openxmlformats.org/spreadsheetml/2006/main" count="166" uniqueCount="104">
  <si>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</si>
  <si>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</si>
  <si>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</si>
  <si>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</si>
  <si>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</si>
  <si>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</si>
  <si>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</si>
  <si>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</si>
  <si>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</si>
  <si>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</si>
  <si>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</si>
  <si>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</si>
  <si>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</si>
  <si>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</si>
  <si>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</si>
  <si>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</si>
  <si>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</si>
  <si>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</si>
  <si>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</si>
  <si>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</si>
  <si>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</si>
  <si>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</si>
  <si>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LTA2264</t>
  </si>
  <si>
    <t>partes-de-abajo-hombres /tallas-pequenas</t>
  </si>
  <si>
    <t>Short de lona regular fit negro H&amp;M</t>
  </si>
  <si>
    <t>Talla S</t>
  </si>
  <si>
    <t>LTA2265</t>
  </si>
  <si>
    <t>Shorts chino regular fit beige H&amp;M</t>
  </si>
  <si>
    <t>LTA2266</t>
  </si>
  <si>
    <t>Shorts de lona regular fit verde caqui H&amp;M</t>
  </si>
  <si>
    <t>Talla XS</t>
  </si>
  <si>
    <t>LTA2267</t>
  </si>
  <si>
    <t>partes-de-abajo-hombres /tallas-grandes</t>
  </si>
  <si>
    <t>Talla L</t>
  </si>
  <si>
    <t>LTA2268</t>
  </si>
  <si>
    <t>Shorts en mezcla de lino relaxed fit beige H&amp;M</t>
  </si>
  <si>
    <t>LTA2269</t>
  </si>
  <si>
    <t>Shorts chino regular fit azul marino H&amp;M</t>
  </si>
  <si>
    <t>LTA2341</t>
  </si>
  <si>
    <t>partes-de-arriba-hombres /tallas-pequenas</t>
  </si>
  <si>
    <t>Camisa de franela regular fit gris claro marmoleado H&amp;M</t>
  </si>
  <si>
    <t>LTA2342</t>
  </si>
  <si>
    <t>partes-de-arriba-hombres /tallas-grandes</t>
  </si>
  <si>
    <t>Camisa regular fit en mezcla de lino beige con rayas blancas H&amp;M</t>
  </si>
  <si>
    <t>LTA2343</t>
  </si>
  <si>
    <t>LTA2344</t>
  </si>
  <si>
    <t>Camisa regular fit en mezcla de lino blanca H&amp;M</t>
  </si>
  <si>
    <t>LTA2345</t>
  </si>
  <si>
    <t>LTA2346</t>
  </si>
  <si>
    <t>Camisa regular fit en mezcla de lino beige claro H&amp;M</t>
  </si>
  <si>
    <t>LTA2347</t>
  </si>
  <si>
    <t>Camisa texturizada loose fit crema cuadrillé H&amp;M</t>
  </si>
  <si>
    <t>LTA2350</t>
  </si>
  <si>
    <t>partes-de-arriba-hombres /tallas-medianas</t>
  </si>
  <si>
    <t>Camisa slim fit easy-iron azul claro H&amp;M</t>
  </si>
  <si>
    <t>Talla M</t>
  </si>
  <si>
    <t>LTA2351</t>
  </si>
  <si>
    <t>Camisa texturizada regular fit azul marino H&amp;M</t>
  </si>
  <si>
    <t>LTA2352</t>
  </si>
  <si>
    <t>Polo texturizado regular fit crema H&amp;M</t>
  </si>
  <si>
    <t>LTA2353</t>
  </si>
  <si>
    <t>Pulóver regular fit texturizado crema H&amp;M</t>
  </si>
  <si>
    <t>LTA2354</t>
  </si>
  <si>
    <t>Polo regular fit calado blanco H&amp;M</t>
  </si>
  <si>
    <t>LTA2355</t>
  </si>
  <si>
    <t>Pulóver regular fit texturizado negro H&amp;M</t>
  </si>
  <si>
    <t>LTA2356</t>
  </si>
  <si>
    <t>LTA2357</t>
  </si>
  <si>
    <t>calzado</t>
  </si>
  <si>
    <t>Sandalias de tacón con tiras negras H&amp;M</t>
  </si>
  <si>
    <t>Talla 7_38</t>
  </si>
  <si>
    <t>LTA2358</t>
  </si>
  <si>
    <t>Accesorios</t>
  </si>
  <si>
    <t>Gorra Western Serpiente SPRINGFIELD</t>
  </si>
  <si>
    <t>Talla Unitalla</t>
  </si>
  <si>
    <t>LTA2359</t>
  </si>
  <si>
    <t>Gorra Jockey montaña Exploring SPRINGFIELD</t>
  </si>
  <si>
    <t>LTA2360</t>
  </si>
  <si>
    <t>Pulóver con motivo estampado blanco Beverly Hills H&amp;M</t>
  </si>
  <si>
    <t>LTA2361</t>
  </si>
  <si>
    <t>Pulóver en mezcla de lyocell beige marmoleado H&amp;M</t>
  </si>
  <si>
    <t>LTA2362</t>
  </si>
  <si>
    <t>Pulóver regular fit marrón con bordes beige H&amp;M</t>
  </si>
  <si>
    <t>LTA2364</t>
  </si>
  <si>
    <t>Pulóver slim fit beige claro H&amp;M</t>
  </si>
  <si>
    <t>LTA2365</t>
  </si>
  <si>
    <t>Pulóver loose fit blanco Palm Noir</t>
  </si>
  <si>
    <t>LTA2366</t>
  </si>
  <si>
    <t>Pulóver slim fit beige H&amp;M</t>
  </si>
  <si>
    <t>LTA2367</t>
  </si>
  <si>
    <t>LTA2368</t>
  </si>
  <si>
    <t>Pulóver con efecto lavado loose fit beige claro H&amp;M</t>
  </si>
  <si>
    <t>LTA2369</t>
  </si>
  <si>
    <t>Pulóver slim fit verde salvia claro H&amp;M</t>
  </si>
  <si>
    <t>LTA2370</t>
  </si>
  <si>
    <t>Pulóver loose fit blanco Born in New York City H&amp;M</t>
  </si>
  <si>
    <t>LTA2371</t>
  </si>
  <si>
    <t>Pantalón de traje slim fit beige elastizado H&amp;M</t>
  </si>
  <si>
    <t>Talla S_32</t>
  </si>
  <si>
    <t>LTA2372</t>
  </si>
  <si>
    <t>Chaleco gilet slim fit negro H&amp;M</t>
  </si>
  <si>
    <t>Talla 44R_L</t>
  </si>
  <si>
    <t>LTA2373</t>
  </si>
  <si>
    <t>Enguatada regular fit gris oscuro H&amp;M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</si>
</sst>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178" formatCode="0.00_);[Red]\(0.00\)"/>
    <numFmt numFmtId="42" formatCode="_-&quot;£&quot;* #,##0_-;\-&quot;£&quot;* #,##0_-;_-&quot;£&quot;* &quot;-&quot;_-;_-@_-"/>
    <numFmt numFmtId="179" formatCode="&quot;$&quot;#,##0.00"/>
    <numFmt numFmtId="180" formatCode="&quot;$&quot;#,##0.0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3" fillId="3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0" fillId="8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0" fillId="6" borderId="6" applyNumberFormat="0" applyFont="0" applyAlignment="0" applyProtection="0">
      <alignment vertical="center"/>
    </xf>
    <xf numFmtId="0" fontId="23" fillId="20" borderId="10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7" applyNumberFormat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7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6" fontId="1" fillId="0" borderId="0" xfId="0" applyNumberFormat="1" applyFont="1" applyFill="1" applyAlignment="1"/>
    <xf numFmtId="177" fontId="1" fillId="0" borderId="0" xfId="0" applyNumberFormat="1" applyFont="1" applyFill="1" applyAlignment="1">
      <alignment horizontal="center"/>
    </xf>
    <xf numFmtId="177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8"/>
  <sheetViews>
    <sheetView tabSelected="1" topLeftCell="A25" workbookViewId="0">
      <selection activeCell="K8" sqref="K8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12" t="s">
        <v>6</v>
      </c>
      <c r="H1" s="12" t="s">
        <v>7</v>
      </c>
      <c r="I1" s="16" t="s">
        <v>8</v>
      </c>
      <c r="J1" s="17" t="s">
        <v>9</v>
      </c>
      <c r="K1" s="11" t="s">
        <v>10</v>
      </c>
      <c r="L1" s="11" t="s">
        <v>11</v>
      </c>
      <c r="M1" s="18" t="s">
        <v>12</v>
      </c>
      <c r="N1" s="18" t="s">
        <v>13</v>
      </c>
      <c r="O1" s="11" t="s">
        <v>14</v>
      </c>
      <c r="P1" s="11" t="s">
        <v>15</v>
      </c>
      <c r="Q1" s="11" t="s">
        <v>16</v>
      </c>
      <c r="R1" s="9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9"/>
    </row>
    <row r="2" s="1" customFormat="1" ht="20" customHeight="1" spans="1:27">
      <c r="A2" s="10" t="s">
        <v>22</v>
      </c>
      <c r="B2" s="1" t="s">
        <v>23</v>
      </c>
      <c r="C2" s="1" t="s">
        <v>24</v>
      </c>
      <c r="D2" s="1" t="s">
        <v>25</v>
      </c>
      <c r="F2" s="13">
        <v>30</v>
      </c>
      <c r="G2" s="14">
        <v>1</v>
      </c>
      <c r="H2" s="14">
        <f>SUMIFS([1]!VENTAS[Cantidad],[1]!VENTAS[Código del producto Vendido],[1]!STOCK[[#This Row],[Code]])</f>
        <v>0</v>
      </c>
      <c r="I2" s="14">
        <v>1</v>
      </c>
      <c r="J2" s="13"/>
      <c r="K2" s="13"/>
      <c r="L2" s="13"/>
      <c r="M2" s="13"/>
      <c r="N2" s="13"/>
      <c r="O2" s="13">
        <f t="shared" ref="O2:O37" si="0">F2</f>
        <v>30</v>
      </c>
      <c r="P2" s="13"/>
      <c r="Q2" s="13"/>
      <c r="R2" s="13"/>
      <c r="S2" s="13"/>
      <c r="T2" s="13"/>
      <c r="U2" s="13"/>
      <c r="W2" s="20"/>
      <c r="X2" s="20"/>
      <c r="Y2" s="20"/>
      <c r="Z2" s="20"/>
      <c r="AA2" s="20"/>
    </row>
    <row r="3" s="1" customFormat="1" ht="20" customHeight="1" spans="1:27">
      <c r="A3" s="10" t="s">
        <v>26</v>
      </c>
      <c r="B3" s="1" t="s">
        <v>23</v>
      </c>
      <c r="C3" s="1" t="s">
        <v>27</v>
      </c>
      <c r="D3" s="1" t="s">
        <v>25</v>
      </c>
      <c r="F3" s="13">
        <v>35</v>
      </c>
      <c r="G3" s="14">
        <v>1</v>
      </c>
      <c r="H3" s="14">
        <f>SUMIFS([1]!VENTAS[Cantidad],[1]!VENTAS[Código del producto Vendido],[1]!STOCK[[#This Row],[Code]])</f>
        <v>0</v>
      </c>
      <c r="I3" s="14">
        <v>1</v>
      </c>
      <c r="J3" s="13"/>
      <c r="K3" s="13"/>
      <c r="L3" s="13"/>
      <c r="M3" s="13"/>
      <c r="N3" s="13"/>
      <c r="O3" s="13">
        <f t="shared" si="0"/>
        <v>35</v>
      </c>
      <c r="P3" s="13"/>
      <c r="Q3" s="13"/>
      <c r="R3" s="13"/>
      <c r="S3" s="13"/>
      <c r="T3" s="13"/>
      <c r="U3" s="13"/>
      <c r="W3" s="20"/>
      <c r="X3" s="20"/>
      <c r="Y3" s="20"/>
      <c r="Z3" s="20"/>
      <c r="AA3" s="20"/>
    </row>
    <row r="4" s="1" customFormat="1" ht="20" customHeight="1" spans="1:27">
      <c r="A4" s="10" t="s">
        <v>28</v>
      </c>
      <c r="B4" s="1" t="s">
        <v>23</v>
      </c>
      <c r="C4" s="1" t="s">
        <v>29</v>
      </c>
      <c r="D4" s="1" t="s">
        <v>30</v>
      </c>
      <c r="F4" s="13">
        <v>30</v>
      </c>
      <c r="G4" s="14">
        <v>1</v>
      </c>
      <c r="H4" s="14">
        <v>0</v>
      </c>
      <c r="I4" s="14">
        <v>1</v>
      </c>
      <c r="J4" s="13"/>
      <c r="K4" s="13"/>
      <c r="L4" s="13"/>
      <c r="M4" s="13"/>
      <c r="N4" s="13"/>
      <c r="O4" s="13">
        <f t="shared" si="0"/>
        <v>30</v>
      </c>
      <c r="P4" s="13"/>
      <c r="Q4" s="13"/>
      <c r="R4" s="13"/>
      <c r="S4" s="13"/>
      <c r="T4" s="13"/>
      <c r="U4" s="13"/>
      <c r="W4" s="20"/>
      <c r="X4" s="20"/>
      <c r="Y4" s="20"/>
      <c r="Z4" s="20"/>
      <c r="AA4" s="20"/>
    </row>
    <row r="5" s="1" customFormat="1" ht="20" customHeight="1" spans="1:27">
      <c r="A5" s="10" t="s">
        <v>31</v>
      </c>
      <c r="B5" s="1" t="s">
        <v>32</v>
      </c>
      <c r="C5" s="1" t="s">
        <v>29</v>
      </c>
      <c r="D5" s="1" t="s">
        <v>33</v>
      </c>
      <c r="F5" s="13">
        <v>30</v>
      </c>
      <c r="G5" s="14">
        <v>1</v>
      </c>
      <c r="H5" s="14">
        <v>0</v>
      </c>
      <c r="I5" s="14">
        <v>1</v>
      </c>
      <c r="J5" s="13"/>
      <c r="K5" s="13"/>
      <c r="L5" s="13"/>
      <c r="M5" s="13"/>
      <c r="N5" s="13"/>
      <c r="O5" s="13">
        <f t="shared" si="0"/>
        <v>30</v>
      </c>
      <c r="P5" s="13"/>
      <c r="Q5" s="13"/>
      <c r="R5" s="13"/>
      <c r="S5" s="13"/>
      <c r="T5" s="13"/>
      <c r="U5" s="13"/>
      <c r="W5" s="20"/>
      <c r="X5" s="20"/>
      <c r="Y5" s="20"/>
      <c r="Z5" s="20"/>
      <c r="AA5" s="20"/>
    </row>
    <row r="6" s="1" customFormat="1" ht="20" customHeight="1" spans="1:27">
      <c r="A6" s="10" t="s">
        <v>34</v>
      </c>
      <c r="B6" s="1" t="s">
        <v>23</v>
      </c>
      <c r="C6" s="1" t="s">
        <v>35</v>
      </c>
      <c r="D6" s="1" t="s">
        <v>25</v>
      </c>
      <c r="F6" s="13">
        <v>35</v>
      </c>
      <c r="G6" s="14">
        <v>1</v>
      </c>
      <c r="H6" s="14">
        <v>0</v>
      </c>
      <c r="I6" s="14">
        <v>1</v>
      </c>
      <c r="J6" s="13"/>
      <c r="K6" s="13"/>
      <c r="L6" s="13"/>
      <c r="M6" s="13"/>
      <c r="N6" s="13"/>
      <c r="O6" s="13">
        <f t="shared" si="0"/>
        <v>35</v>
      </c>
      <c r="P6" s="13"/>
      <c r="Q6" s="13"/>
      <c r="R6" s="13"/>
      <c r="S6" s="13"/>
      <c r="T6" s="13"/>
      <c r="U6" s="13"/>
      <c r="W6" s="20"/>
      <c r="X6" s="20"/>
      <c r="Y6" s="20"/>
      <c r="Z6" s="20"/>
      <c r="AA6" s="20"/>
    </row>
    <row r="7" s="1" customFormat="1" ht="20" customHeight="1" spans="1:27">
      <c r="A7" s="10" t="s">
        <v>36</v>
      </c>
      <c r="B7" s="1" t="s">
        <v>23</v>
      </c>
      <c r="C7" s="1" t="s">
        <v>37</v>
      </c>
      <c r="D7" s="1" t="s">
        <v>25</v>
      </c>
      <c r="F7" s="13">
        <v>30</v>
      </c>
      <c r="G7" s="14">
        <v>1</v>
      </c>
      <c r="H7" s="14">
        <v>0</v>
      </c>
      <c r="I7" s="14">
        <v>1</v>
      </c>
      <c r="J7" s="13"/>
      <c r="K7" s="13"/>
      <c r="L7" s="13"/>
      <c r="M7" s="13"/>
      <c r="N7" s="13"/>
      <c r="O7" s="13">
        <f t="shared" si="0"/>
        <v>30</v>
      </c>
      <c r="P7" s="13"/>
      <c r="Q7" s="13"/>
      <c r="R7" s="13"/>
      <c r="S7" s="13"/>
      <c r="T7" s="13"/>
      <c r="U7" s="13"/>
      <c r="W7" s="20"/>
      <c r="X7" s="20"/>
      <c r="Y7" s="20"/>
      <c r="Z7" s="20"/>
      <c r="AA7" s="20"/>
    </row>
    <row r="8" s="1" customFormat="1" ht="20" customHeight="1" spans="1:27">
      <c r="A8" s="10" t="s">
        <v>38</v>
      </c>
      <c r="B8" s="1" t="s">
        <v>39</v>
      </c>
      <c r="C8" s="1" t="s">
        <v>40</v>
      </c>
      <c r="D8" s="1" t="s">
        <v>25</v>
      </c>
      <c r="F8" s="13">
        <v>35</v>
      </c>
      <c r="G8" s="14">
        <v>2</v>
      </c>
      <c r="H8" s="14">
        <v>0</v>
      </c>
      <c r="I8" s="14">
        <v>2</v>
      </c>
      <c r="J8" s="13"/>
      <c r="K8" s="13"/>
      <c r="L8" s="13"/>
      <c r="M8" s="13"/>
      <c r="N8" s="13"/>
      <c r="O8" s="13">
        <f t="shared" si="0"/>
        <v>35</v>
      </c>
      <c r="P8" s="13"/>
      <c r="Q8" s="13"/>
      <c r="R8" s="13"/>
      <c r="S8" s="13"/>
      <c r="T8" s="13"/>
      <c r="U8" s="13"/>
      <c r="W8" s="20"/>
      <c r="X8" s="20"/>
      <c r="Y8" s="20"/>
      <c r="Z8" s="20"/>
      <c r="AA8" s="20"/>
    </row>
    <row r="9" s="1" customFormat="1" ht="20" customHeight="1" spans="1:27">
      <c r="A9" s="10" t="s">
        <v>41</v>
      </c>
      <c r="B9" s="1" t="s">
        <v>42</v>
      </c>
      <c r="C9" s="1" t="s">
        <v>43</v>
      </c>
      <c r="D9" s="1" t="s">
        <v>33</v>
      </c>
      <c r="F9" s="13">
        <v>35</v>
      </c>
      <c r="G9" s="14">
        <v>2</v>
      </c>
      <c r="H9" s="14">
        <f>SUMIFS([1]!VENTAS[Cantidad],[1]!VENTAS[Código del producto Vendido],[1]!STOCK[[#This Row],[Code]])</f>
        <v>0</v>
      </c>
      <c r="I9" s="14">
        <v>2</v>
      </c>
      <c r="J9" s="13"/>
      <c r="K9" s="13"/>
      <c r="L9" s="13"/>
      <c r="M9" s="13"/>
      <c r="N9" s="13"/>
      <c r="O9" s="13">
        <f t="shared" si="0"/>
        <v>35</v>
      </c>
      <c r="P9" s="13"/>
      <c r="Q9" s="13"/>
      <c r="R9" s="13"/>
      <c r="S9" s="13"/>
      <c r="T9" s="13"/>
      <c r="U9" s="13"/>
      <c r="W9" s="20"/>
      <c r="X9" s="20"/>
      <c r="Y9" s="20"/>
      <c r="Z9" s="20"/>
      <c r="AA9" s="20"/>
    </row>
    <row r="10" s="1" customFormat="1" ht="20" customHeight="1" spans="1:27">
      <c r="A10" s="10" t="s">
        <v>44</v>
      </c>
      <c r="B10" s="1" t="s">
        <v>39</v>
      </c>
      <c r="C10" s="1" t="s">
        <v>43</v>
      </c>
      <c r="D10" s="1" t="s">
        <v>25</v>
      </c>
      <c r="F10" s="13">
        <v>35</v>
      </c>
      <c r="G10" s="14">
        <v>1</v>
      </c>
      <c r="H10" s="14">
        <v>0</v>
      </c>
      <c r="I10" s="14">
        <v>1</v>
      </c>
      <c r="J10" s="13"/>
      <c r="K10" s="13"/>
      <c r="L10" s="13"/>
      <c r="M10" s="13"/>
      <c r="N10" s="13"/>
      <c r="O10" s="13">
        <f t="shared" si="0"/>
        <v>35</v>
      </c>
      <c r="P10" s="13"/>
      <c r="Q10" s="13"/>
      <c r="R10" s="13"/>
      <c r="S10" s="13"/>
      <c r="T10" s="13"/>
      <c r="U10" s="13"/>
      <c r="W10" s="20"/>
      <c r="X10" s="20"/>
      <c r="Y10" s="20"/>
      <c r="Z10" s="20"/>
      <c r="AA10" s="20"/>
    </row>
    <row r="11" s="1" customFormat="1" ht="20" customHeight="1" spans="1:27">
      <c r="A11" s="10" t="s">
        <v>45</v>
      </c>
      <c r="B11" s="1" t="s">
        <v>39</v>
      </c>
      <c r="C11" s="1" t="s">
        <v>46</v>
      </c>
      <c r="D11" s="1" t="s">
        <v>30</v>
      </c>
      <c r="F11" s="13">
        <v>35</v>
      </c>
      <c r="G11" s="14">
        <v>1</v>
      </c>
      <c r="H11" s="14">
        <f>SUMIFS([1]!VENTAS[Cantidad],[1]!VENTAS[Código del producto Vendido],[1]!STOCK[[#This Row],[Code]])</f>
        <v>0</v>
      </c>
      <c r="I11" s="14">
        <v>1</v>
      </c>
      <c r="J11" s="13"/>
      <c r="K11" s="13"/>
      <c r="L11" s="13"/>
      <c r="M11" s="13"/>
      <c r="N11" s="13"/>
      <c r="O11" s="13">
        <f t="shared" si="0"/>
        <v>35</v>
      </c>
      <c r="P11" s="13"/>
      <c r="Q11" s="13"/>
      <c r="R11" s="13"/>
      <c r="S11" s="13"/>
      <c r="T11" s="13"/>
      <c r="U11" s="13"/>
      <c r="W11" s="20"/>
      <c r="X11" s="20"/>
      <c r="Y11" s="20"/>
      <c r="Z11" s="20"/>
      <c r="AA11" s="20"/>
    </row>
    <row r="12" s="1" customFormat="1" ht="20" customHeight="1" spans="1:27">
      <c r="A12" s="10" t="s">
        <v>47</v>
      </c>
      <c r="B12" s="1" t="s">
        <v>42</v>
      </c>
      <c r="C12" s="1" t="s">
        <v>46</v>
      </c>
      <c r="D12" s="1" t="s">
        <v>33</v>
      </c>
      <c r="F12" s="13">
        <v>35</v>
      </c>
      <c r="G12" s="14">
        <v>1</v>
      </c>
      <c r="H12" s="14">
        <v>0</v>
      </c>
      <c r="I12" s="14">
        <v>1</v>
      </c>
      <c r="J12" s="13"/>
      <c r="K12" s="13"/>
      <c r="L12" s="13"/>
      <c r="M12" s="13"/>
      <c r="N12" s="13"/>
      <c r="O12" s="13">
        <f t="shared" si="0"/>
        <v>35</v>
      </c>
      <c r="P12" s="13"/>
      <c r="Q12" s="13"/>
      <c r="R12" s="13"/>
      <c r="S12" s="13"/>
      <c r="T12" s="13"/>
      <c r="U12" s="13"/>
      <c r="W12" s="20"/>
      <c r="X12" s="20"/>
      <c r="Y12" s="20"/>
      <c r="Z12" s="20"/>
      <c r="AA12" s="20"/>
    </row>
    <row r="13" s="1" customFormat="1" ht="20" customHeight="1" spans="1:27">
      <c r="A13" s="10" t="s">
        <v>48</v>
      </c>
      <c r="B13" s="1" t="s">
        <v>42</v>
      </c>
      <c r="C13" s="1" t="s">
        <v>49</v>
      </c>
      <c r="D13" s="1" t="s">
        <v>33</v>
      </c>
      <c r="F13" s="13">
        <v>35</v>
      </c>
      <c r="G13" s="14">
        <v>1</v>
      </c>
      <c r="H13" s="14">
        <f>SUMIFS([1]!VENTAS[Cantidad],[1]!VENTAS[Código del producto Vendido],[1]!STOCK[[#This Row],[Code]])</f>
        <v>0</v>
      </c>
      <c r="I13" s="14">
        <v>1</v>
      </c>
      <c r="J13" s="13"/>
      <c r="K13" s="13"/>
      <c r="L13" s="13"/>
      <c r="M13" s="13"/>
      <c r="N13" s="13"/>
      <c r="O13" s="13">
        <f t="shared" si="0"/>
        <v>35</v>
      </c>
      <c r="P13" s="13"/>
      <c r="Q13" s="13"/>
      <c r="R13" s="13"/>
      <c r="S13" s="13"/>
      <c r="T13" s="13"/>
      <c r="U13" s="13"/>
      <c r="W13" s="20"/>
      <c r="X13" s="20"/>
      <c r="Y13" s="20"/>
      <c r="Z13" s="20"/>
      <c r="AA13" s="20"/>
    </row>
    <row r="14" s="1" customFormat="1" ht="20" customHeight="1" spans="1:27">
      <c r="A14" s="10" t="s">
        <v>50</v>
      </c>
      <c r="B14" s="1" t="s">
        <v>39</v>
      </c>
      <c r="C14" s="1" t="s">
        <v>51</v>
      </c>
      <c r="D14" s="1" t="s">
        <v>25</v>
      </c>
      <c r="F14" s="13">
        <v>35</v>
      </c>
      <c r="G14" s="14">
        <v>1</v>
      </c>
      <c r="H14" s="14">
        <f>SUMIFS([1]!VENTAS[Cantidad],[1]!VENTAS[Código del producto Vendido],[1]!STOCK[[#This Row],[Code]])</f>
        <v>0</v>
      </c>
      <c r="I14" s="14">
        <v>1</v>
      </c>
      <c r="J14" s="13"/>
      <c r="K14" s="13"/>
      <c r="L14" s="13"/>
      <c r="M14" s="13"/>
      <c r="N14" s="13"/>
      <c r="O14" s="13">
        <f t="shared" si="0"/>
        <v>35</v>
      </c>
      <c r="P14" s="13"/>
      <c r="Q14" s="13"/>
      <c r="R14" s="13"/>
      <c r="S14" s="13"/>
      <c r="T14" s="13"/>
      <c r="U14" s="13"/>
      <c r="W14" s="20"/>
      <c r="X14" s="20"/>
      <c r="Y14" s="20"/>
      <c r="Z14" s="20"/>
      <c r="AA14" s="20"/>
    </row>
    <row r="15" s="1" customFormat="1" ht="20" customHeight="1" spans="1:27">
      <c r="A15" s="10" t="s">
        <v>52</v>
      </c>
      <c r="B15" s="1" t="s">
        <v>53</v>
      </c>
      <c r="C15" s="1" t="s">
        <v>54</v>
      </c>
      <c r="D15" s="1" t="s">
        <v>55</v>
      </c>
      <c r="F15" s="13">
        <v>30</v>
      </c>
      <c r="G15" s="14">
        <v>1</v>
      </c>
      <c r="H15" s="14">
        <f>SUMIFS([1]!VENTAS[Cantidad],[1]!VENTAS[Código del producto Vendido],[1]!STOCK[[#This Row],[Code]])</f>
        <v>0</v>
      </c>
      <c r="I15" s="14">
        <v>1</v>
      </c>
      <c r="J15" s="13"/>
      <c r="K15" s="13"/>
      <c r="L15" s="13"/>
      <c r="M15" s="13"/>
      <c r="N15" s="13"/>
      <c r="O15" s="13">
        <f t="shared" si="0"/>
        <v>30</v>
      </c>
      <c r="P15" s="13"/>
      <c r="Q15" s="13"/>
      <c r="R15" s="13"/>
      <c r="S15" s="13"/>
      <c r="T15" s="13"/>
      <c r="U15" s="13"/>
      <c r="W15" s="20"/>
      <c r="X15" s="20"/>
      <c r="Y15" s="20"/>
      <c r="Z15" s="20"/>
      <c r="AA15" s="20"/>
    </row>
    <row r="16" s="1" customFormat="1" ht="20" customHeight="1" spans="1:27">
      <c r="A16" s="10" t="s">
        <v>56</v>
      </c>
      <c r="B16" s="1" t="s">
        <v>39</v>
      </c>
      <c r="C16" s="1" t="s">
        <v>57</v>
      </c>
      <c r="D16" s="1" t="s">
        <v>25</v>
      </c>
      <c r="F16" s="13">
        <v>40</v>
      </c>
      <c r="G16" s="14">
        <v>1</v>
      </c>
      <c r="H16" s="14">
        <v>0</v>
      </c>
      <c r="I16" s="14">
        <v>1</v>
      </c>
      <c r="J16" s="13"/>
      <c r="K16" s="13"/>
      <c r="L16" s="13"/>
      <c r="M16" s="13"/>
      <c r="N16" s="13"/>
      <c r="O16" s="13">
        <f t="shared" si="0"/>
        <v>40</v>
      </c>
      <c r="P16" s="13"/>
      <c r="Q16" s="13"/>
      <c r="R16" s="13"/>
      <c r="S16" s="13"/>
      <c r="T16" s="13"/>
      <c r="U16" s="13"/>
      <c r="W16" s="20"/>
      <c r="X16" s="20"/>
      <c r="Y16" s="20"/>
      <c r="Z16" s="20"/>
      <c r="AA16" s="20"/>
    </row>
    <row r="17" s="1" customFormat="1" ht="20" customHeight="1" spans="1:27">
      <c r="A17" s="10" t="s">
        <v>58</v>
      </c>
      <c r="B17" s="1" t="s">
        <v>39</v>
      </c>
      <c r="C17" s="1" t="s">
        <v>59</v>
      </c>
      <c r="D17" s="1" t="s">
        <v>25</v>
      </c>
      <c r="F17" s="13">
        <v>30</v>
      </c>
      <c r="G17" s="14">
        <v>1</v>
      </c>
      <c r="H17" s="14">
        <v>0</v>
      </c>
      <c r="I17" s="14">
        <v>1</v>
      </c>
      <c r="J17" s="13"/>
      <c r="K17" s="13"/>
      <c r="L17" s="13"/>
      <c r="M17" s="13"/>
      <c r="N17" s="13"/>
      <c r="O17" s="13">
        <f t="shared" si="0"/>
        <v>30</v>
      </c>
      <c r="P17" s="13"/>
      <c r="Q17" s="13"/>
      <c r="R17" s="13"/>
      <c r="S17" s="13"/>
      <c r="T17" s="13"/>
      <c r="U17" s="13"/>
      <c r="W17" s="20"/>
      <c r="X17" s="20"/>
      <c r="Y17" s="20"/>
      <c r="Z17" s="20"/>
      <c r="AA17" s="20"/>
    </row>
    <row r="18" s="1" customFormat="1" ht="20" customHeight="1" spans="1:27">
      <c r="A18" s="10" t="s">
        <v>60</v>
      </c>
      <c r="B18" s="1" t="s">
        <v>39</v>
      </c>
      <c r="C18" s="1" t="s">
        <v>61</v>
      </c>
      <c r="D18" s="1" t="s">
        <v>25</v>
      </c>
      <c r="F18" s="13">
        <v>30</v>
      </c>
      <c r="G18" s="14">
        <v>2</v>
      </c>
      <c r="H18" s="14">
        <f>SUMIFS([1]!VENTAS[Cantidad],[1]!VENTAS[Código del producto Vendido],[1]!STOCK[[#This Row],[Code]])</f>
        <v>0</v>
      </c>
      <c r="I18" s="14">
        <v>2</v>
      </c>
      <c r="J18" s="13"/>
      <c r="K18" s="13"/>
      <c r="L18" s="13"/>
      <c r="M18" s="13"/>
      <c r="N18" s="13"/>
      <c r="O18" s="13">
        <f t="shared" si="0"/>
        <v>30</v>
      </c>
      <c r="P18" s="13"/>
      <c r="Q18" s="13"/>
      <c r="R18" s="13"/>
      <c r="S18" s="13"/>
      <c r="T18" s="13"/>
      <c r="U18" s="13"/>
      <c r="W18" s="20"/>
      <c r="X18" s="20"/>
      <c r="Y18" s="20"/>
      <c r="Z18" s="20"/>
      <c r="AA18" s="20"/>
    </row>
    <row r="19" s="1" customFormat="1" ht="20" customHeight="1" spans="1:27">
      <c r="A19" s="10" t="s">
        <v>62</v>
      </c>
      <c r="B19" s="1" t="s">
        <v>42</v>
      </c>
      <c r="C19" s="1" t="s">
        <v>63</v>
      </c>
      <c r="D19" s="1" t="s">
        <v>33</v>
      </c>
      <c r="F19" s="13">
        <v>30</v>
      </c>
      <c r="G19" s="14">
        <v>1</v>
      </c>
      <c r="H19" s="14">
        <v>0</v>
      </c>
      <c r="I19" s="14">
        <v>1</v>
      </c>
      <c r="J19" s="13"/>
      <c r="K19" s="13"/>
      <c r="L19" s="13"/>
      <c r="M19" s="13"/>
      <c r="N19" s="13"/>
      <c r="O19" s="13">
        <f t="shared" si="0"/>
        <v>30</v>
      </c>
      <c r="P19" s="13"/>
      <c r="Q19" s="13"/>
      <c r="R19" s="13"/>
      <c r="S19" s="13"/>
      <c r="T19" s="13"/>
      <c r="U19" s="13"/>
      <c r="W19" s="20"/>
      <c r="X19" s="20"/>
      <c r="Y19" s="20"/>
      <c r="Z19" s="20"/>
      <c r="AA19" s="20"/>
    </row>
    <row r="20" s="1" customFormat="1" ht="20" customHeight="1" spans="1:27">
      <c r="A20" s="10" t="s">
        <v>64</v>
      </c>
      <c r="B20" s="1" t="s">
        <v>53</v>
      </c>
      <c r="C20" s="1" t="s">
        <v>65</v>
      </c>
      <c r="D20" s="1" t="s">
        <v>55</v>
      </c>
      <c r="F20" s="13">
        <v>30</v>
      </c>
      <c r="G20" s="14">
        <v>1</v>
      </c>
      <c r="H20" s="14">
        <f>SUMIFS([1]!VENTAS[Cantidad],[1]!VENTAS[Código del producto Vendido],[1]!STOCK[[#This Row],[Code]])</f>
        <v>0</v>
      </c>
      <c r="I20" s="14">
        <v>1</v>
      </c>
      <c r="J20" s="13"/>
      <c r="K20" s="13"/>
      <c r="L20" s="13"/>
      <c r="M20" s="13"/>
      <c r="N20" s="13"/>
      <c r="O20" s="13">
        <f t="shared" si="0"/>
        <v>30</v>
      </c>
      <c r="P20" s="13"/>
      <c r="Q20" s="13"/>
      <c r="R20" s="13"/>
      <c r="S20" s="13"/>
      <c r="T20" s="13"/>
      <c r="U20" s="13"/>
      <c r="W20" s="20"/>
      <c r="X20" s="20"/>
      <c r="Y20" s="20"/>
      <c r="Z20" s="20"/>
      <c r="AA20" s="20"/>
    </row>
    <row r="21" s="1" customFormat="1" ht="20" customHeight="1" spans="1:27">
      <c r="A21" s="10" t="s">
        <v>66</v>
      </c>
      <c r="B21" s="1" t="s">
        <v>42</v>
      </c>
      <c r="C21" s="1" t="s">
        <v>65</v>
      </c>
      <c r="D21" s="1" t="s">
        <v>33</v>
      </c>
      <c r="F21" s="13">
        <v>30</v>
      </c>
      <c r="G21" s="14">
        <v>1</v>
      </c>
      <c r="H21" s="14">
        <f>SUMIFS([1]!VENTAS[Cantidad],[1]!VENTAS[Código del producto Vendido],[1]!STOCK[[#This Row],[Code]])</f>
        <v>0</v>
      </c>
      <c r="I21" s="14">
        <v>1</v>
      </c>
      <c r="J21" s="13"/>
      <c r="K21" s="13"/>
      <c r="L21" s="13"/>
      <c r="M21" s="13"/>
      <c r="N21" s="13"/>
      <c r="O21" s="13">
        <f t="shared" si="0"/>
        <v>30</v>
      </c>
      <c r="P21" s="13"/>
      <c r="Q21" s="13"/>
      <c r="R21" s="13"/>
      <c r="S21" s="13"/>
      <c r="T21" s="13"/>
      <c r="U21" s="13"/>
      <c r="W21" s="20"/>
      <c r="X21" s="20"/>
      <c r="Y21" s="20"/>
      <c r="Z21" s="20"/>
      <c r="AA21" s="20"/>
    </row>
    <row r="22" s="1" customFormat="1" ht="20" customHeight="1" spans="1:27">
      <c r="A22" s="10" t="s">
        <v>67</v>
      </c>
      <c r="B22" s="1" t="s">
        <v>68</v>
      </c>
      <c r="C22" s="1" t="s">
        <v>69</v>
      </c>
      <c r="D22" s="1" t="s">
        <v>70</v>
      </c>
      <c r="F22" s="13">
        <v>40</v>
      </c>
      <c r="G22" s="14">
        <v>1</v>
      </c>
      <c r="H22" s="14">
        <v>0</v>
      </c>
      <c r="I22" s="14">
        <v>1</v>
      </c>
      <c r="J22" s="13"/>
      <c r="K22" s="13"/>
      <c r="L22" s="13"/>
      <c r="M22" s="13"/>
      <c r="N22" s="13"/>
      <c r="O22" s="13">
        <f t="shared" si="0"/>
        <v>40</v>
      </c>
      <c r="P22" s="13"/>
      <c r="Q22" s="13"/>
      <c r="R22" s="13"/>
      <c r="S22" s="13"/>
      <c r="T22" s="13"/>
      <c r="U22" s="13"/>
      <c r="W22" s="20"/>
      <c r="X22" s="20"/>
      <c r="Y22" s="20"/>
      <c r="Z22" s="20"/>
      <c r="AA22" s="20"/>
    </row>
    <row r="23" s="1" customFormat="1" ht="20" customHeight="1" spans="1:27">
      <c r="A23" s="10" t="s">
        <v>71</v>
      </c>
      <c r="B23" s="1" t="s">
        <v>72</v>
      </c>
      <c r="C23" s="1" t="s">
        <v>73</v>
      </c>
      <c r="D23" s="1" t="s">
        <v>74</v>
      </c>
      <c r="F23" s="13">
        <v>25</v>
      </c>
      <c r="G23" s="14">
        <v>1</v>
      </c>
      <c r="H23" s="14">
        <f>SUMIFS([1]!VENTAS[Cantidad],[1]!VENTAS[Código del producto Vendido],[1]!STOCK[[#This Row],[Code]])</f>
        <v>0</v>
      </c>
      <c r="I23" s="14">
        <v>1</v>
      </c>
      <c r="J23" s="13"/>
      <c r="K23" s="13"/>
      <c r="L23" s="13"/>
      <c r="M23" s="13"/>
      <c r="N23" s="13"/>
      <c r="O23" s="13">
        <f t="shared" si="0"/>
        <v>25</v>
      </c>
      <c r="P23" s="13"/>
      <c r="Q23" s="13"/>
      <c r="R23" s="13"/>
      <c r="S23" s="13"/>
      <c r="T23" s="13"/>
      <c r="U23" s="13"/>
      <c r="W23" s="20"/>
      <c r="X23" s="20"/>
      <c r="Y23" s="20"/>
      <c r="Z23" s="20"/>
      <c r="AA23" s="20"/>
    </row>
    <row r="24" s="1" customFormat="1" ht="20" customHeight="1" spans="1:27">
      <c r="A24" s="10" t="s">
        <v>75</v>
      </c>
      <c r="B24" s="1" t="s">
        <v>72</v>
      </c>
      <c r="C24" s="1" t="s">
        <v>76</v>
      </c>
      <c r="D24" s="1" t="s">
        <v>74</v>
      </c>
      <c r="F24" s="13">
        <v>25</v>
      </c>
      <c r="G24" s="14">
        <v>1</v>
      </c>
      <c r="H24" s="14">
        <f>SUMIFS([1]!VENTAS[Cantidad],[1]!VENTAS[Código del producto Vendido],[1]!STOCK[[#This Row],[Code]])</f>
        <v>0</v>
      </c>
      <c r="I24" s="14">
        <v>1</v>
      </c>
      <c r="J24" s="13"/>
      <c r="K24" s="13"/>
      <c r="L24" s="13"/>
      <c r="M24" s="13"/>
      <c r="N24" s="13"/>
      <c r="O24" s="13">
        <f t="shared" si="0"/>
        <v>25</v>
      </c>
      <c r="P24" s="13"/>
      <c r="Q24" s="13"/>
      <c r="R24" s="13"/>
      <c r="S24" s="13"/>
      <c r="T24" s="13"/>
      <c r="U24" s="13"/>
      <c r="W24" s="20"/>
      <c r="X24" s="20"/>
      <c r="Y24" s="20"/>
      <c r="Z24" s="20"/>
      <c r="AA24" s="20"/>
    </row>
    <row r="25" s="1" customFormat="1" ht="20" customHeight="1" spans="1:27">
      <c r="A25" s="10" t="s">
        <v>77</v>
      </c>
      <c r="B25" s="1" t="s">
        <v>39</v>
      </c>
      <c r="C25" s="1" t="s">
        <v>78</v>
      </c>
      <c r="D25" s="1" t="s">
        <v>25</v>
      </c>
      <c r="F25" s="13">
        <v>20</v>
      </c>
      <c r="G25" s="14">
        <v>1</v>
      </c>
      <c r="H25" s="14">
        <v>0</v>
      </c>
      <c r="I25" s="14">
        <v>1</v>
      </c>
      <c r="J25" s="13"/>
      <c r="K25" s="13"/>
      <c r="L25" s="13"/>
      <c r="M25" s="13"/>
      <c r="N25" s="13"/>
      <c r="O25" s="13">
        <f t="shared" si="0"/>
        <v>20</v>
      </c>
      <c r="P25" s="13"/>
      <c r="Q25" s="13"/>
      <c r="R25" s="13"/>
      <c r="S25" s="13"/>
      <c r="T25" s="13"/>
      <c r="U25" s="13"/>
      <c r="W25" s="20"/>
      <c r="X25" s="20"/>
      <c r="Y25" s="20"/>
      <c r="Z25" s="20"/>
      <c r="AA25" s="20"/>
    </row>
    <row r="26" s="1" customFormat="1" ht="20" customHeight="1" spans="1:27">
      <c r="A26" s="10" t="s">
        <v>79</v>
      </c>
      <c r="B26" s="1" t="s">
        <v>42</v>
      </c>
      <c r="C26" s="1" t="s">
        <v>80</v>
      </c>
      <c r="D26" s="1" t="s">
        <v>33</v>
      </c>
      <c r="F26" s="13">
        <v>22</v>
      </c>
      <c r="G26" s="14">
        <v>1</v>
      </c>
      <c r="H26" s="14">
        <v>0</v>
      </c>
      <c r="I26" s="14">
        <v>1</v>
      </c>
      <c r="J26" s="13"/>
      <c r="K26" s="13"/>
      <c r="L26" s="13"/>
      <c r="M26" s="13"/>
      <c r="N26" s="13"/>
      <c r="O26" s="13">
        <f t="shared" si="0"/>
        <v>22</v>
      </c>
      <c r="P26" s="13"/>
      <c r="Q26" s="13"/>
      <c r="R26" s="13"/>
      <c r="S26" s="13"/>
      <c r="T26" s="13"/>
      <c r="U26" s="13"/>
      <c r="W26" s="20"/>
      <c r="X26" s="20"/>
      <c r="Y26" s="20"/>
      <c r="Z26" s="20"/>
      <c r="AA26" s="20"/>
    </row>
    <row r="27" s="1" customFormat="1" ht="20" customHeight="1" spans="1:27">
      <c r="A27" s="10" t="s">
        <v>81</v>
      </c>
      <c r="B27" s="1" t="s">
        <v>42</v>
      </c>
      <c r="C27" s="1" t="s">
        <v>82</v>
      </c>
      <c r="D27" s="1" t="s">
        <v>33</v>
      </c>
      <c r="F27" s="13">
        <v>20</v>
      </c>
      <c r="G27" s="14">
        <v>1</v>
      </c>
      <c r="H27" s="14">
        <v>0</v>
      </c>
      <c r="I27" s="14">
        <v>1</v>
      </c>
      <c r="J27" s="13"/>
      <c r="K27" s="13"/>
      <c r="L27" s="13"/>
      <c r="M27" s="13"/>
      <c r="N27" s="13"/>
      <c r="O27" s="13">
        <f t="shared" si="0"/>
        <v>20</v>
      </c>
      <c r="P27" s="13"/>
      <c r="Q27" s="13"/>
      <c r="R27" s="13"/>
      <c r="S27" s="13"/>
      <c r="T27" s="13"/>
      <c r="U27" s="13"/>
      <c r="W27" s="20"/>
      <c r="X27" s="20"/>
      <c r="Y27" s="20"/>
      <c r="Z27" s="20"/>
      <c r="AA27" s="20"/>
    </row>
    <row r="28" s="1" customFormat="1" ht="20" customHeight="1" spans="1:27">
      <c r="A28" s="10" t="s">
        <v>83</v>
      </c>
      <c r="B28" s="1" t="s">
        <v>53</v>
      </c>
      <c r="C28" s="1" t="s">
        <v>84</v>
      </c>
      <c r="D28" s="1" t="s">
        <v>55</v>
      </c>
      <c r="F28" s="13">
        <v>18</v>
      </c>
      <c r="G28" s="14">
        <v>1</v>
      </c>
      <c r="H28" s="14">
        <f>SUMIFS([1]!VENTAS[Cantidad],[1]!VENTAS[Código del producto Vendido],[1]!STOCK[[#This Row],[Code]])</f>
        <v>0</v>
      </c>
      <c r="I28" s="14">
        <v>1</v>
      </c>
      <c r="J28" s="13"/>
      <c r="K28" s="13"/>
      <c r="L28" s="13"/>
      <c r="M28" s="13"/>
      <c r="N28" s="13"/>
      <c r="O28" s="13">
        <f t="shared" si="0"/>
        <v>18</v>
      </c>
      <c r="P28" s="13"/>
      <c r="Q28" s="13"/>
      <c r="R28" s="13"/>
      <c r="S28" s="13"/>
      <c r="T28" s="13"/>
      <c r="U28" s="13"/>
      <c r="W28" s="20"/>
      <c r="X28" s="20"/>
      <c r="Y28" s="20"/>
      <c r="Z28" s="20"/>
      <c r="AA28" s="20"/>
    </row>
    <row r="29" s="1" customFormat="1" ht="20" customHeight="1" spans="1:27">
      <c r="A29" s="10" t="s">
        <v>85</v>
      </c>
      <c r="B29" s="1" t="s">
        <v>39</v>
      </c>
      <c r="C29" s="1" t="s">
        <v>86</v>
      </c>
      <c r="D29" s="1" t="s">
        <v>25</v>
      </c>
      <c r="F29" s="13">
        <v>20</v>
      </c>
      <c r="G29" s="14">
        <v>1</v>
      </c>
      <c r="H29" s="14">
        <f>SUMIFS([1]!VENTAS[Cantidad],[1]!VENTAS[Código del producto Vendido],[1]!STOCK[[#This Row],[Code]])</f>
        <v>0</v>
      </c>
      <c r="I29" s="14">
        <v>1</v>
      </c>
      <c r="J29" s="13"/>
      <c r="K29" s="13"/>
      <c r="L29" s="13"/>
      <c r="M29" s="13"/>
      <c r="N29" s="13"/>
      <c r="O29" s="13">
        <f t="shared" si="0"/>
        <v>20</v>
      </c>
      <c r="P29" s="13"/>
      <c r="Q29" s="13"/>
      <c r="R29" s="13"/>
      <c r="S29" s="13"/>
      <c r="T29" s="13"/>
      <c r="U29" s="13"/>
      <c r="W29" s="20"/>
      <c r="X29" s="20"/>
      <c r="Y29" s="20"/>
      <c r="Z29" s="20"/>
      <c r="AA29" s="20"/>
    </row>
    <row r="30" s="1" customFormat="1" ht="20" customHeight="1" spans="1:27">
      <c r="A30" s="10" t="s">
        <v>87</v>
      </c>
      <c r="B30" s="1" t="s">
        <v>39</v>
      </c>
      <c r="C30" s="1" t="s">
        <v>88</v>
      </c>
      <c r="D30" s="1" t="s">
        <v>30</v>
      </c>
      <c r="F30" s="13">
        <v>18</v>
      </c>
      <c r="G30" s="14">
        <v>1</v>
      </c>
      <c r="H30" s="14">
        <v>0</v>
      </c>
      <c r="I30" s="14">
        <v>1</v>
      </c>
      <c r="J30" s="13"/>
      <c r="K30" s="13"/>
      <c r="L30" s="13"/>
      <c r="M30" s="13"/>
      <c r="N30" s="13"/>
      <c r="O30" s="13">
        <f t="shared" si="0"/>
        <v>18</v>
      </c>
      <c r="P30" s="13"/>
      <c r="Q30" s="13"/>
      <c r="R30" s="13"/>
      <c r="S30" s="13"/>
      <c r="T30" s="13"/>
      <c r="U30" s="13"/>
      <c r="W30" s="20"/>
      <c r="X30" s="20"/>
      <c r="Y30" s="20"/>
      <c r="Z30" s="20"/>
      <c r="AA30" s="20"/>
    </row>
    <row r="31" s="1" customFormat="1" ht="20" customHeight="1" spans="1:27">
      <c r="A31" s="10" t="s">
        <v>89</v>
      </c>
      <c r="B31" s="1" t="s">
        <v>39</v>
      </c>
      <c r="C31" s="1" t="s">
        <v>88</v>
      </c>
      <c r="D31" s="1" t="s">
        <v>25</v>
      </c>
      <c r="F31" s="13">
        <v>18</v>
      </c>
      <c r="G31" s="14">
        <v>1</v>
      </c>
      <c r="H31" s="14">
        <f>SUMIFS([1]!VENTAS[Cantidad],[1]!VENTAS[Código del producto Vendido],[1]!STOCK[[#This Row],[Code]])</f>
        <v>0</v>
      </c>
      <c r="I31" s="14">
        <v>1</v>
      </c>
      <c r="J31" s="13"/>
      <c r="K31" s="13"/>
      <c r="L31" s="13"/>
      <c r="M31" s="13"/>
      <c r="N31" s="13"/>
      <c r="O31" s="13">
        <f t="shared" si="0"/>
        <v>18</v>
      </c>
      <c r="P31" s="13"/>
      <c r="Q31" s="13"/>
      <c r="R31" s="13"/>
      <c r="S31" s="13"/>
      <c r="T31" s="13"/>
      <c r="U31" s="13"/>
      <c r="W31" s="20"/>
      <c r="X31" s="20"/>
      <c r="Y31" s="20"/>
      <c r="Z31" s="20"/>
      <c r="AA31" s="20"/>
    </row>
    <row r="32" s="1" customFormat="1" ht="20" customHeight="1" spans="1:27">
      <c r="A32" s="10" t="s">
        <v>90</v>
      </c>
      <c r="B32" s="1" t="s">
        <v>39</v>
      </c>
      <c r="C32" s="1" t="s">
        <v>91</v>
      </c>
      <c r="D32" s="1" t="s">
        <v>25</v>
      </c>
      <c r="F32" s="13">
        <v>20</v>
      </c>
      <c r="G32" s="14">
        <v>1</v>
      </c>
      <c r="H32" s="14">
        <f>SUMIFS([1]!VENTAS[Cantidad],[1]!VENTAS[Código del producto Vendido],[1]!STOCK[[#This Row],[Code]])</f>
        <v>0</v>
      </c>
      <c r="I32" s="14">
        <v>1</v>
      </c>
      <c r="J32" s="13"/>
      <c r="K32" s="13"/>
      <c r="L32" s="13"/>
      <c r="M32" s="13"/>
      <c r="N32" s="13"/>
      <c r="O32" s="13">
        <f t="shared" si="0"/>
        <v>20</v>
      </c>
      <c r="P32" s="13"/>
      <c r="Q32" s="13"/>
      <c r="R32" s="13"/>
      <c r="S32" s="13"/>
      <c r="T32" s="13"/>
      <c r="U32" s="13"/>
      <c r="W32" s="20"/>
      <c r="X32" s="20"/>
      <c r="Y32" s="20"/>
      <c r="Z32" s="20"/>
      <c r="AA32" s="20"/>
    </row>
    <row r="33" s="1" customFormat="1" ht="20" customHeight="1" spans="1:27">
      <c r="A33" s="10" t="s">
        <v>92</v>
      </c>
      <c r="B33" s="1" t="s">
        <v>39</v>
      </c>
      <c r="C33" s="1" t="s">
        <v>93</v>
      </c>
      <c r="D33" s="1" t="s">
        <v>30</v>
      </c>
      <c r="F33" s="13">
        <v>18</v>
      </c>
      <c r="G33" s="14">
        <v>1</v>
      </c>
      <c r="H33" s="14">
        <f>SUMIFS([1]!VENTAS[Cantidad],[1]!VENTAS[Código del producto Vendido],[1]!STOCK[[#This Row],[Code]])</f>
        <v>0</v>
      </c>
      <c r="I33" s="14">
        <v>1</v>
      </c>
      <c r="J33" s="13"/>
      <c r="K33" s="13"/>
      <c r="L33" s="13"/>
      <c r="M33" s="13"/>
      <c r="N33" s="13"/>
      <c r="O33" s="13">
        <f t="shared" si="0"/>
        <v>18</v>
      </c>
      <c r="P33" s="13"/>
      <c r="Q33" s="13"/>
      <c r="R33" s="13"/>
      <c r="S33" s="13"/>
      <c r="T33" s="13"/>
      <c r="U33" s="13"/>
      <c r="W33" s="20"/>
      <c r="X33" s="20"/>
      <c r="Y33" s="20"/>
      <c r="Z33" s="20"/>
      <c r="AA33" s="20"/>
    </row>
    <row r="34" s="1" customFormat="1" ht="20" customHeight="1" spans="1:27">
      <c r="A34" s="10" t="s">
        <v>94</v>
      </c>
      <c r="B34" s="1" t="s">
        <v>39</v>
      </c>
      <c r="C34" s="1" t="s">
        <v>95</v>
      </c>
      <c r="D34" s="1" t="s">
        <v>30</v>
      </c>
      <c r="F34" s="13">
        <v>20</v>
      </c>
      <c r="G34" s="14">
        <v>1</v>
      </c>
      <c r="H34" s="14">
        <f>SUMIFS([1]!VENTAS[Cantidad],[1]!VENTAS[Código del producto Vendido],[1]!STOCK[[#This Row],[Code]])</f>
        <v>0</v>
      </c>
      <c r="I34" s="14">
        <v>1</v>
      </c>
      <c r="J34" s="13"/>
      <c r="K34" s="13"/>
      <c r="L34" s="13"/>
      <c r="M34" s="13"/>
      <c r="N34" s="13"/>
      <c r="O34" s="13">
        <f t="shared" si="0"/>
        <v>20</v>
      </c>
      <c r="P34" s="13"/>
      <c r="Q34" s="13"/>
      <c r="R34" s="13"/>
      <c r="S34" s="13"/>
      <c r="T34" s="13"/>
      <c r="U34" s="13"/>
      <c r="W34" s="20"/>
      <c r="X34" s="20"/>
      <c r="Y34" s="20"/>
      <c r="Z34" s="20"/>
      <c r="AA34" s="20"/>
    </row>
    <row r="35" s="1" customFormat="1" ht="20" customHeight="1" spans="1:27">
      <c r="A35" s="10" t="s">
        <v>96</v>
      </c>
      <c r="B35" s="1" t="s">
        <v>23</v>
      </c>
      <c r="C35" s="1" t="s">
        <v>97</v>
      </c>
      <c r="D35" s="1" t="s">
        <v>98</v>
      </c>
      <c r="F35" s="13">
        <v>50</v>
      </c>
      <c r="G35" s="14">
        <v>2</v>
      </c>
      <c r="H35" s="14">
        <f>SUMIFS([1]!VENTAS[Cantidad],[1]!VENTAS[Código del producto Vendido],[1]!STOCK[[#This Row],[Code]])</f>
        <v>0</v>
      </c>
      <c r="I35" s="14">
        <v>2</v>
      </c>
      <c r="J35" s="13"/>
      <c r="K35" s="13"/>
      <c r="L35" s="13"/>
      <c r="M35" s="13"/>
      <c r="N35" s="13"/>
      <c r="O35" s="13">
        <f t="shared" si="0"/>
        <v>50</v>
      </c>
      <c r="P35" s="13"/>
      <c r="Q35" s="13"/>
      <c r="R35" s="13"/>
      <c r="S35" s="13"/>
      <c r="T35" s="13"/>
      <c r="U35" s="13"/>
      <c r="W35" s="20"/>
      <c r="X35" s="20"/>
      <c r="Y35" s="20"/>
      <c r="Z35" s="20"/>
      <c r="AA35" s="20"/>
    </row>
    <row r="36" s="1" customFormat="1" ht="20" customHeight="1" spans="1:27">
      <c r="A36" s="10" t="s">
        <v>99</v>
      </c>
      <c r="B36" s="1" t="s">
        <v>42</v>
      </c>
      <c r="C36" s="1" t="s">
        <v>100</v>
      </c>
      <c r="D36" s="1" t="s">
        <v>101</v>
      </c>
      <c r="F36" s="13">
        <v>35</v>
      </c>
      <c r="G36" s="14">
        <v>1</v>
      </c>
      <c r="H36" s="14">
        <v>0</v>
      </c>
      <c r="I36" s="14">
        <v>1</v>
      </c>
      <c r="J36" s="13"/>
      <c r="K36" s="13"/>
      <c r="L36" s="13"/>
      <c r="M36" s="13"/>
      <c r="N36" s="13"/>
      <c r="O36" s="13">
        <f t="shared" si="0"/>
        <v>35</v>
      </c>
      <c r="P36" s="13"/>
      <c r="Q36" s="13"/>
      <c r="R36" s="13"/>
      <c r="S36" s="13"/>
      <c r="T36" s="13"/>
      <c r="U36" s="13"/>
      <c r="W36" s="20"/>
      <c r="X36" s="20"/>
      <c r="Y36" s="20"/>
      <c r="Z36" s="20"/>
      <c r="AA36" s="20"/>
    </row>
    <row r="37" s="1" customFormat="1" ht="20" customHeight="1" spans="1:27">
      <c r="A37" s="10" t="s">
        <v>102</v>
      </c>
      <c r="B37" s="1" t="s">
        <v>39</v>
      </c>
      <c r="C37" s="1" t="s">
        <v>103</v>
      </c>
      <c r="D37" s="1" t="s">
        <v>30</v>
      </c>
      <c r="F37" s="13">
        <v>20</v>
      </c>
      <c r="G37" s="14">
        <v>1</v>
      </c>
      <c r="H37" s="14">
        <f>SUMIFS([1]!VENTAS[Cantidad],[1]!VENTAS[Código del producto Vendido],[1]!STOCK[[#This Row],[Code]])</f>
        <v>0</v>
      </c>
      <c r="I37" s="14">
        <v>1</v>
      </c>
      <c r="J37" s="13"/>
      <c r="K37" s="13"/>
      <c r="L37" s="13"/>
      <c r="M37" s="13"/>
      <c r="N37" s="13"/>
      <c r="O37" s="13">
        <f t="shared" si="0"/>
        <v>20</v>
      </c>
      <c r="P37" s="13"/>
      <c r="Q37" s="13"/>
      <c r="R37" s="13"/>
      <c r="S37" s="13"/>
      <c r="T37" s="13"/>
      <c r="U37" s="13"/>
      <c r="W37" s="20"/>
      <c r="X37" s="20"/>
      <c r="Y37" s="20"/>
      <c r="Z37" s="20"/>
      <c r="AA37" s="20"/>
    </row>
    <row r="53" ht="14.8" spans="8:15">
      <c r="H53" s="15"/>
      <c r="I53" s="14"/>
      <c r="O53" s="5"/>
    </row>
    <row r="54" ht="14.8" spans="8:15">
      <c r="H54" s="15"/>
      <c r="I54" s="14"/>
      <c r="O54" s="5"/>
    </row>
    <row r="55" ht="14.8" spans="8:15">
      <c r="H55" s="15"/>
      <c r="O55" s="5"/>
    </row>
    <row r="56" ht="14.8" spans="8:8">
      <c r="H56" s="15"/>
    </row>
    <row r="57" ht="14.8" spans="8:8">
      <c r="H57" s="15"/>
    </row>
    <row r="58" ht="14.8" spans="8:8">
      <c r="H58" s="15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2026-01-13T17:53:00Z</dcterms:created>
  <dcterms:modified xsi:type="dcterms:W3CDTF">2026-02-10T09:24:25Z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