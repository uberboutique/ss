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<sst xmlns="http://schemas.openxmlformats.org/spreadsheetml/2006/main" count="207" uniqueCount="148">
  <si>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</si>
  <si>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</si>
  <si>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</si>
  <si>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</si>
  <si>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</si>
  <si>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</si>
  <si>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</si>
  <si>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</si>
  <si>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</si>
  <si>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</si>
  <si>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</si>
  <si>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</si>
  <si>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</si>
  <si>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</si>
  <si>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</si>
  <si>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</si>
  <si>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</si>
  <si>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</si>
  <si>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</si>
  <si>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</si>
  <si>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</si>
  <si>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</si>
  <si>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LTA2064</t>
  </si>
  <si>
    <t>calzado /hombes</t>
  </si>
  <si>
    <t>Sandalia engomada doble tira ZARA</t>
  </si>
  <si>
    <t>Talla 44</t>
  </si>
  <si>
    <t>Compra ZARA Leyi 24 enero2026</t>
  </si>
  <si>
    <t>LTA2065</t>
  </si>
  <si>
    <t>Sandalia piel doble tira ZARA</t>
  </si>
  <si>
    <t>Talla 42</t>
  </si>
  <si>
    <t>Compra ZARA Leyi 24 enero2027</t>
  </si>
  <si>
    <t>LTA2066</t>
  </si>
  <si>
    <t>Talla 43</t>
  </si>
  <si>
    <t>Compra ZARA Leyi 24 enero2028</t>
  </si>
  <si>
    <t>LTA2067</t>
  </si>
  <si>
    <t>Compra ZARA Leyi 24 enero2029</t>
  </si>
  <si>
    <t>LTA2068</t>
  </si>
  <si>
    <t>Calzado</t>
  </si>
  <si>
    <t>Sandalias beige verdoso destalonadas de efecto acharolado ZARA</t>
  </si>
  <si>
    <t>Talla 39</t>
  </si>
  <si>
    <t>Compra ZARA Leyi 24 enero2030</t>
  </si>
  <si>
    <t>LTA2069</t>
  </si>
  <si>
    <t>Sandalia tacón y lazo blanco roto ZARA</t>
  </si>
  <si>
    <t>Talla 37</t>
  </si>
  <si>
    <t>Compra ZARA Leyi 24 enero2031</t>
  </si>
  <si>
    <t>LTA2070</t>
  </si>
  <si>
    <t>Sandalias de lazo destalonadas negro ZARA</t>
  </si>
  <si>
    <t>Compra ZARA Leyi 24 enero2032</t>
  </si>
  <si>
    <t>LTA2071</t>
  </si>
  <si>
    <t>Sandalias destalonada con pespunte ZARA</t>
  </si>
  <si>
    <t>Talla 38</t>
  </si>
  <si>
    <t>Compra ZARA Leyi 24 enero2033</t>
  </si>
  <si>
    <t>LTA2072</t>
  </si>
  <si>
    <t>Compra ZARA Leyi 24 enero2034</t>
  </si>
  <si>
    <t>LTA2073</t>
  </si>
  <si>
    <t>Talla 36</t>
  </si>
  <si>
    <t>Compra ZARA Leyi 24 enero2035</t>
  </si>
  <si>
    <t>LTA2074</t>
  </si>
  <si>
    <t>Talla 40</t>
  </si>
  <si>
    <t>Compra ZARA Leyi 24 enero2036</t>
  </si>
  <si>
    <t>LTA2075</t>
  </si>
  <si>
    <t>Sandalias destalonadas de punta fina marrón ZARA</t>
  </si>
  <si>
    <t>Compra ZARA Leyi 24 enero2037</t>
  </si>
  <si>
    <t>LTA2076</t>
  </si>
  <si>
    <t>Sandalias de tacón y punta fina velvet ZARA</t>
  </si>
  <si>
    <t>Compra ZARA Leyi 24 enero2038</t>
  </si>
  <si>
    <t>LTA2077</t>
  </si>
  <si>
    <t>Compra ZARA Leyi 24 enero2039</t>
  </si>
  <si>
    <t>LTA2078</t>
  </si>
  <si>
    <t>bolsos</t>
  </si>
  <si>
    <t>Bolso city verde con correas ZARA</t>
  </si>
  <si>
    <t>Mediano</t>
  </si>
  <si>
    <t>Compra ZARA Leyi 24 enero2040</t>
  </si>
  <si>
    <t>LTA2079</t>
  </si>
  <si>
    <t>Bolso city con doble haza borgoña ZARA</t>
  </si>
  <si>
    <t>Compra ZARA Leyi 24 enero2041</t>
  </si>
  <si>
    <t>LTA2080</t>
  </si>
  <si>
    <t>Bandolera con detalle de cierre de gancho borgoña ZARA</t>
  </si>
  <si>
    <t>Compra ZARA Leyi 24 enero2042</t>
  </si>
  <si>
    <t>LTA2081</t>
  </si>
  <si>
    <t>Bolso bandolera de doble asa alargado mostaza quemada ZARA</t>
  </si>
  <si>
    <t>Compra ZARA Leyi 24 enero2043</t>
  </si>
  <si>
    <t>LTA2082</t>
  </si>
  <si>
    <t>Bolso bowling con cremalleras verde ZARA</t>
  </si>
  <si>
    <t>Compra ZARA Leyi 24 enero2044</t>
  </si>
  <si>
    <t>LTA2083</t>
  </si>
  <si>
    <t>Bolso bowling con cremalleras café ZARA</t>
  </si>
  <si>
    <t>Compra ZARA Leyi 24 enero2045</t>
  </si>
  <si>
    <t>LTA2084</t>
  </si>
  <si>
    <t>Bolso bandolera con solapa y cremallera marrón ZARA</t>
  </si>
  <si>
    <t>Compra ZARA Leyi 24 enero2046</t>
  </si>
  <si>
    <t>LTA2085</t>
  </si>
  <si>
    <t>Bolso mini shopper ovalado marrón claro ZARA</t>
  </si>
  <si>
    <t>Compra ZARA Leyi 24 enero2047</t>
  </si>
  <si>
    <t>LTA2086</t>
  </si>
  <si>
    <t>Bolso mini city relieve rojo ZARA</t>
  </si>
  <si>
    <t>Pequeño</t>
  </si>
  <si>
    <t>Compra ZARA Leyi 24 enero2048</t>
  </si>
  <si>
    <t>LTA2087</t>
  </si>
  <si>
    <t>Bolso multiposición negro con cremallera ZARA</t>
  </si>
  <si>
    <t>Compra ZARA Leyi 24 enero2049</t>
  </si>
  <si>
    <t>LTA2088</t>
  </si>
  <si>
    <t>Bandolera lisa tipo neceser ZARA</t>
  </si>
  <si>
    <t>Compra ZARA Leyi 24 enero2050</t>
  </si>
  <si>
    <t>LTA2089</t>
  </si>
  <si>
    <t>Neceser liso pequeño ZARA</t>
  </si>
  <si>
    <t>Compra ZARA Leyi 24 enero2051</t>
  </si>
  <si>
    <t>LTA2090</t>
  </si>
  <si>
    <t>Bolso bandolera y de mano beige H&amp;M</t>
  </si>
  <si>
    <t>Compra ZARA Leyi 24 enero2052</t>
  </si>
  <si>
    <t>LTA2091</t>
  </si>
  <si>
    <t>Bolso al hombro tipo jolongo marrón en tendencia H&amp;M</t>
  </si>
  <si>
    <t>Grande</t>
  </si>
  <si>
    <t>Compra ZARA Leyi 24 enero2053</t>
  </si>
  <si>
    <t>LTA2092</t>
  </si>
  <si>
    <t>Bolso negro con cremallera y detalles de herrajes H&amp;M</t>
  </si>
  <si>
    <t>Compra ZARA Leyi 24 enero2054</t>
  </si>
  <si>
    <t>LTA2093</t>
  </si>
  <si>
    <t>Bolso sobre elegante con cadena dorado ZARA</t>
  </si>
  <si>
    <t>Compra ZARA Leyi 24 enero2055</t>
  </si>
  <si>
    <t>LTA2094</t>
  </si>
  <si>
    <t>Bolso elegante plateado ZARA</t>
  </si>
  <si>
    <t>Compra ZARA Leyi 24 enero2056</t>
  </si>
  <si>
    <t>LTA2095</t>
  </si>
  <si>
    <t xml:space="preserve">Vestido /tallas-pequenas  </t>
  </si>
  <si>
    <t>Vestido midi tirantes de espalda atada marrón ZARA</t>
  </si>
  <si>
    <t>Talla S</t>
  </si>
  <si>
    <t>Compra ZARA Leyi 24 enero2057</t>
  </si>
  <si>
    <t>LTA2096</t>
  </si>
  <si>
    <t>Vestido /tallas-medianas</t>
  </si>
  <si>
    <t>Vestido strapless elegante verde ZARA</t>
  </si>
  <si>
    <t>Talla M</t>
  </si>
  <si>
    <t>Compra ZARA Leyi 24 enero2058</t>
  </si>
  <si>
    <t>LTA2097</t>
  </si>
  <si>
    <t xml:space="preserve">vestido /tallas-extra-grandes </t>
  </si>
  <si>
    <t>Vestido vaporoso amarillo vainilla ZARA</t>
  </si>
  <si>
    <t>Talla XL</t>
  </si>
  <si>
    <t>Compra ZARA Leyi 24 enero2059</t>
  </si>
  <si>
    <t>LTA2098</t>
  </si>
  <si>
    <t>Vestido midi satinado con cinturón ZARA</t>
  </si>
  <si>
    <t>Compra ZARA Leyi 24 enero2060</t>
  </si>
  <si>
    <t>LTA2099</t>
  </si>
  <si>
    <t>Tops /tallas-pequenas</t>
  </si>
  <si>
    <t>Blusa elegante de un hombro de lazo verde H&amp;M</t>
  </si>
  <si>
    <t>Compra ZARA Leyi 24 enero2061</t>
  </si>
  <si>
    <t>LTA2100</t>
  </si>
  <si>
    <t>Chaleco tipo blazer con botones de flor H&amp;M</t>
  </si>
  <si>
    <t>Compra ZARA Leyi 24 enero2062</t>
  </si>
</sst>
</file>

<file path=xl/styles.xml><?xml version="1.0" encoding="utf-8"?>
<styleSheet xmlns="http://schemas.openxmlformats.org/spreadsheetml/2006/main">
  <numFmts count="9">
    <numFmt numFmtId="43" formatCode="_-* #,##0.00_-;\-* #,##0.00_-;_-* &quot;-&quot;??_-;_-@_-"/>
    <numFmt numFmtId="176" formatCode="0_);[Red]\(0\)"/>
    <numFmt numFmtId="177" formatCode="_ [$$-540A]* #,##0.00_ ;_ [$$-540A]* \-#,##0.00_ ;_ [$$-540A]* &quot;-&quot;??_ ;_ @_ "/>
    <numFmt numFmtId="41" formatCode="_-* #,##0_-;\-* #,##0_-;_-* &quot;-&quot;_-;_-@_-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80" formatCode="&quot;$&quot;#,##0.0"/>
  </numFmts>
  <fonts count="26">
    <font>
      <sz val="11"/>
      <color theme="1"/>
      <name val="Calibri"/>
      <charset val="134"/>
      <scheme val="minor"/>
    </font>
    <font>
      <sz val="12"/>
      <color rgb="FFFFC000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 style="thin">
        <color theme="0" tint="-0.499984740745262"/>
      </bottom>
      <diagonal/>
    </border>
    <border>
      <left style="thin">
        <color theme="4"/>
      </left>
      <right/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4" fillId="3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9" fillId="7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12" fillId="8" borderId="8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7" borderId="8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1" borderId="12" applyNumberFormat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Fill="1" applyAlignment="1"/>
    <xf numFmtId="0" fontId="0" fillId="2" borderId="0" xfId="0" applyFill="1">
      <alignment vertical="center"/>
    </xf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4" xfId="0" applyFont="1" applyFill="1" applyBorder="1" applyAlignment="1"/>
    <xf numFmtId="49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vertical="center"/>
    </xf>
    <xf numFmtId="178" fontId="3" fillId="3" borderId="2" xfId="0" applyNumberFormat="1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76" fontId="1" fillId="0" borderId="4" xfId="0" applyNumberFormat="1" applyFont="1" applyFill="1" applyBorder="1" applyAlignment="1">
      <alignment horizontal="center"/>
    </xf>
    <xf numFmtId="176" fontId="1" fillId="0" borderId="0" xfId="0" applyNumberFormat="1" applyFont="1" applyFill="1" applyAlignment="1">
      <alignment horizontal="center"/>
    </xf>
    <xf numFmtId="179" fontId="4" fillId="2" borderId="0" xfId="27" applyNumberFormat="1" applyFont="1" applyFill="1" applyBorder="1" applyAlignment="1" applyProtection="1"/>
    <xf numFmtId="0" fontId="4" fillId="2" borderId="0" xfId="0" applyFont="1" applyFill="1" applyAlignment="1">
      <alignment horizontal="center" vertical="center"/>
    </xf>
    <xf numFmtId="176" fontId="5" fillId="2" borderId="5" xfId="0" applyNumberFormat="1" applyFont="1" applyFill="1" applyBorder="1" applyAlignment="1">
      <alignment horizontal="center" vertical="top"/>
    </xf>
    <xf numFmtId="179" fontId="4" fillId="0" borderId="0" xfId="27" applyNumberFormat="1" applyFont="1" applyFill="1" applyBorder="1" applyAlignment="1" applyProtection="1"/>
    <xf numFmtId="0" fontId="4" fillId="0" borderId="0" xfId="0" applyFont="1" applyFill="1" applyAlignment="1">
      <alignment horizontal="center" vertical="center"/>
    </xf>
    <xf numFmtId="176" fontId="5" fillId="0" borderId="5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4" xfId="0" applyNumberFormat="1" applyFont="1" applyFill="1" applyBorder="1" applyAlignment="1"/>
    <xf numFmtId="176" fontId="4" fillId="2" borderId="0" xfId="0" applyNumberFormat="1" applyFont="1" applyFill="1" applyAlignment="1">
      <alignment horizontal="center"/>
    </xf>
    <xf numFmtId="179" fontId="0" fillId="2" borderId="0" xfId="0" applyNumberFormat="1" applyFill="1" applyAlignment="1">
      <alignment vertical="center"/>
    </xf>
    <xf numFmtId="178" fontId="0" fillId="2" borderId="0" xfId="0" applyNumberFormat="1" applyFill="1" applyAlignment="1">
      <alignment vertical="center"/>
    </xf>
    <xf numFmtId="176" fontId="4" fillId="0" borderId="0" xfId="0" applyNumberFormat="1" applyFont="1" applyFill="1" applyAlignment="1">
      <alignment horizontal="center"/>
    </xf>
    <xf numFmtId="180" fontId="3" fillId="3" borderId="2" xfId="0" applyNumberFormat="1" applyFont="1" applyFill="1" applyBorder="1" applyAlignment="1">
      <alignment horizontal="left" vertical="center" wrapText="1"/>
    </xf>
    <xf numFmtId="178" fontId="6" fillId="4" borderId="6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3"/>
  <sheetViews>
    <sheetView tabSelected="1" topLeftCell="C1" workbookViewId="0">
      <selection activeCell="F43" sqref="F43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5" t="s">
        <v>5</v>
      </c>
      <c r="G1" s="16" t="s">
        <v>6</v>
      </c>
      <c r="H1" s="16" t="s">
        <v>7</v>
      </c>
      <c r="I1" s="26" t="s">
        <v>8</v>
      </c>
      <c r="J1" s="27" t="s">
        <v>9</v>
      </c>
      <c r="K1" s="15" t="s">
        <v>10</v>
      </c>
      <c r="L1" s="15" t="s">
        <v>11</v>
      </c>
      <c r="M1" s="33" t="s">
        <v>12</v>
      </c>
      <c r="N1" s="33" t="s">
        <v>13</v>
      </c>
      <c r="O1" s="15" t="s">
        <v>14</v>
      </c>
      <c r="P1" s="15" t="s">
        <v>15</v>
      </c>
      <c r="Q1" s="15" t="s">
        <v>16</v>
      </c>
      <c r="R1" s="10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34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7">
        <f t="shared" ref="F2:F26" si="0">O2</f>
        <v>50</v>
      </c>
      <c r="G2" s="18">
        <v>1</v>
      </c>
      <c r="H2" s="18">
        <v>0</v>
      </c>
      <c r="I2" s="19">
        <f>G2</f>
        <v>1</v>
      </c>
      <c r="J2" s="17">
        <f t="shared" ref="J2:J38" si="1">F2*10%</f>
        <v>5</v>
      </c>
      <c r="K2" s="28">
        <v>17</v>
      </c>
      <c r="L2" s="28">
        <v>4.1</v>
      </c>
      <c r="M2" s="17">
        <f t="shared" ref="M2:M38" si="2">K2+L2</f>
        <v>21.1</v>
      </c>
      <c r="N2" s="17">
        <f t="shared" ref="N2:N38" si="3">M2*1.5</f>
        <v>31.65</v>
      </c>
      <c r="O2" s="28">
        <v>50</v>
      </c>
      <c r="P2" s="17">
        <f>[1]!STOCK[[#This Row],[Precio Final]]-[1]!STOCK[[#This Row],[Costo total]]</f>
        <v>11.1111111111111</v>
      </c>
      <c r="Q2" s="17"/>
      <c r="R2" s="17" t="s">
        <v>26</v>
      </c>
      <c r="S2" s="17"/>
      <c r="T2" s="17"/>
      <c r="U2" s="17"/>
      <c r="W2" s="35"/>
      <c r="X2" s="35"/>
      <c r="Y2" s="35"/>
      <c r="Z2" s="35"/>
      <c r="AA2" s="35"/>
      <c r="XFD2" s="36"/>
    </row>
    <row r="3" s="1" customFormat="1" ht="20" customHeight="1" spans="1:16384">
      <c r="A3" s="11" t="s">
        <v>27</v>
      </c>
      <c r="B3" s="1" t="s">
        <v>23</v>
      </c>
      <c r="C3" s="1" t="s">
        <v>28</v>
      </c>
      <c r="D3" s="1" t="s">
        <v>29</v>
      </c>
      <c r="F3" s="17">
        <f t="shared" si="0"/>
        <v>50</v>
      </c>
      <c r="G3" s="19">
        <v>1</v>
      </c>
      <c r="H3" s="19">
        <f>SUMIFS([1]!VENTAS[Cantidad],[1]!VENTAS[Código del producto Vendido],[1]!STOCK[[#This Row],[Code]])</f>
        <v>0</v>
      </c>
      <c r="I3" s="19">
        <f t="shared" ref="I3:I21" si="4">G3</f>
        <v>1</v>
      </c>
      <c r="J3" s="17">
        <f t="shared" si="1"/>
        <v>5</v>
      </c>
      <c r="K3" s="17">
        <v>20</v>
      </c>
      <c r="L3" s="17">
        <v>4.1</v>
      </c>
      <c r="M3" s="17">
        <f t="shared" si="2"/>
        <v>24.1</v>
      </c>
      <c r="N3" s="17">
        <f t="shared" si="3"/>
        <v>36.15</v>
      </c>
      <c r="O3" s="17">
        <v>50</v>
      </c>
      <c r="P3" s="17">
        <f>[1]!STOCK[[#This Row],[Precio Final]]-[1]!STOCK[[#This Row],[Costo total]]</f>
        <v>9.1111111111111</v>
      </c>
      <c r="Q3" s="17"/>
      <c r="R3" s="17" t="s">
        <v>30</v>
      </c>
      <c r="S3" s="17"/>
      <c r="T3" s="17"/>
      <c r="U3" s="17"/>
      <c r="W3" s="35"/>
      <c r="X3" s="35"/>
      <c r="Y3" s="35"/>
      <c r="Z3" s="35"/>
      <c r="AA3" s="35"/>
      <c r="XFD3" s="36"/>
    </row>
    <row r="4" s="1" customFormat="1" ht="20" customHeight="1" spans="1:16384">
      <c r="A4" s="11" t="s">
        <v>31</v>
      </c>
      <c r="B4" s="1" t="s">
        <v>23</v>
      </c>
      <c r="C4" s="1" t="s">
        <v>28</v>
      </c>
      <c r="D4" s="1" t="s">
        <v>32</v>
      </c>
      <c r="F4" s="17">
        <f t="shared" si="0"/>
        <v>50</v>
      </c>
      <c r="G4" s="19">
        <v>1</v>
      </c>
      <c r="H4" s="19">
        <v>0</v>
      </c>
      <c r="I4" s="19">
        <f t="shared" si="4"/>
        <v>1</v>
      </c>
      <c r="J4" s="17">
        <f t="shared" si="1"/>
        <v>5</v>
      </c>
      <c r="K4" s="17">
        <v>20</v>
      </c>
      <c r="L4" s="17">
        <v>4.1</v>
      </c>
      <c r="M4" s="17">
        <f t="shared" si="2"/>
        <v>24.1</v>
      </c>
      <c r="N4" s="17">
        <f t="shared" si="3"/>
        <v>36.15</v>
      </c>
      <c r="O4" s="17">
        <v>50</v>
      </c>
      <c r="P4" s="17">
        <f>[1]!STOCK[[#This Row],[Precio Final]]-[1]!STOCK[[#This Row],[Costo total]]</f>
        <v>13</v>
      </c>
      <c r="Q4" s="17"/>
      <c r="R4" s="17" t="s">
        <v>33</v>
      </c>
      <c r="S4" s="17"/>
      <c r="T4" s="17"/>
      <c r="U4" s="17"/>
      <c r="W4" s="35"/>
      <c r="X4" s="35"/>
      <c r="Y4" s="35"/>
      <c r="Z4" s="35"/>
      <c r="AA4" s="35"/>
      <c r="XFD4" s="36"/>
    </row>
    <row r="5" s="1" customFormat="1" ht="20" customHeight="1" spans="1:16384">
      <c r="A5" s="11" t="s">
        <v>34</v>
      </c>
      <c r="B5" s="1" t="s">
        <v>23</v>
      </c>
      <c r="C5" s="1" t="s">
        <v>28</v>
      </c>
      <c r="D5" s="1" t="s">
        <v>25</v>
      </c>
      <c r="F5" s="17">
        <f t="shared" si="0"/>
        <v>50</v>
      </c>
      <c r="G5" s="19">
        <v>1</v>
      </c>
      <c r="H5" s="19">
        <v>0</v>
      </c>
      <c r="I5" s="19">
        <f t="shared" si="4"/>
        <v>1</v>
      </c>
      <c r="J5" s="17">
        <f t="shared" si="1"/>
        <v>5</v>
      </c>
      <c r="K5" s="17">
        <v>20</v>
      </c>
      <c r="L5" s="17">
        <v>4.1</v>
      </c>
      <c r="M5" s="17">
        <f t="shared" si="2"/>
        <v>24.1</v>
      </c>
      <c r="N5" s="17">
        <f t="shared" si="3"/>
        <v>36.15</v>
      </c>
      <c r="O5" s="17">
        <v>50</v>
      </c>
      <c r="P5" s="17">
        <f>[1]!STOCK[[#This Row],[Precio Final]]-[1]!STOCK[[#This Row],[Costo total]]</f>
        <v>16.3511111111111</v>
      </c>
      <c r="Q5" s="17"/>
      <c r="R5" s="17" t="s">
        <v>35</v>
      </c>
      <c r="S5" s="17"/>
      <c r="T5" s="17"/>
      <c r="U5" s="17"/>
      <c r="W5" s="35"/>
      <c r="X5" s="35"/>
      <c r="Y5" s="35"/>
      <c r="Z5" s="35"/>
      <c r="AA5" s="35"/>
      <c r="XFD5" s="36"/>
    </row>
    <row r="6" s="1" customFormat="1" ht="20" customHeight="1" spans="1:16384">
      <c r="A6" s="11" t="s">
        <v>36</v>
      </c>
      <c r="B6" s="1" t="s">
        <v>37</v>
      </c>
      <c r="C6" s="1" t="s">
        <v>38</v>
      </c>
      <c r="D6" s="1" t="s">
        <v>39</v>
      </c>
      <c r="F6" s="17">
        <f t="shared" si="0"/>
        <v>55</v>
      </c>
      <c r="G6" s="19">
        <v>1</v>
      </c>
      <c r="H6" s="19">
        <v>0</v>
      </c>
      <c r="I6" s="19">
        <f t="shared" si="4"/>
        <v>1</v>
      </c>
      <c r="J6" s="17">
        <f t="shared" si="1"/>
        <v>5.5</v>
      </c>
      <c r="K6" s="17">
        <v>23</v>
      </c>
      <c r="L6" s="17">
        <v>4.1</v>
      </c>
      <c r="M6" s="17">
        <f t="shared" si="2"/>
        <v>27.1</v>
      </c>
      <c r="N6" s="17">
        <f t="shared" si="3"/>
        <v>40.65</v>
      </c>
      <c r="O6" s="17">
        <v>55</v>
      </c>
      <c r="P6" s="17">
        <f>[1]!STOCK[[#This Row],[Precio Final]]-[1]!STOCK[[#This Row],[Costo total]]</f>
        <v>10.6161111111111</v>
      </c>
      <c r="Q6" s="17"/>
      <c r="R6" s="17" t="s">
        <v>40</v>
      </c>
      <c r="S6" s="17"/>
      <c r="T6" s="17"/>
      <c r="U6" s="17"/>
      <c r="W6" s="35"/>
      <c r="X6" s="35"/>
      <c r="Y6" s="35"/>
      <c r="Z6" s="35"/>
      <c r="AA6" s="35"/>
      <c r="XFD6" s="36"/>
    </row>
    <row r="7" s="1" customFormat="1" ht="20" customHeight="1" spans="1:16384">
      <c r="A7" s="11" t="s">
        <v>41</v>
      </c>
      <c r="B7" s="1" t="s">
        <v>37</v>
      </c>
      <c r="C7" s="1" t="s">
        <v>42</v>
      </c>
      <c r="D7" s="1" t="s">
        <v>43</v>
      </c>
      <c r="F7" s="17">
        <f t="shared" si="0"/>
        <v>60</v>
      </c>
      <c r="G7" s="19">
        <v>1</v>
      </c>
      <c r="H7" s="19">
        <v>0</v>
      </c>
      <c r="I7" s="19">
        <f t="shared" si="4"/>
        <v>1</v>
      </c>
      <c r="J7" s="17">
        <f t="shared" si="1"/>
        <v>6</v>
      </c>
      <c r="K7" s="17">
        <v>23.75</v>
      </c>
      <c r="L7" s="17">
        <v>4.1</v>
      </c>
      <c r="M7" s="17">
        <f t="shared" si="2"/>
        <v>27.85</v>
      </c>
      <c r="N7" s="17">
        <f t="shared" si="3"/>
        <v>41.775</v>
      </c>
      <c r="O7" s="17">
        <v>60</v>
      </c>
      <c r="P7" s="17">
        <f>[1]!STOCK[[#This Row],[Precio Final]]-[1]!STOCK[[#This Row],[Costo total]]</f>
        <v>17.6872222222222</v>
      </c>
      <c r="Q7" s="17"/>
      <c r="R7" s="17" t="s">
        <v>44</v>
      </c>
      <c r="S7" s="17"/>
      <c r="T7" s="17"/>
      <c r="U7" s="17"/>
      <c r="W7" s="35"/>
      <c r="X7" s="35"/>
      <c r="Y7" s="35"/>
      <c r="Z7" s="35"/>
      <c r="AA7" s="35"/>
      <c r="XFD7" s="36"/>
    </row>
    <row r="8" s="1" customFormat="1" ht="20" customHeight="1" spans="1:16384">
      <c r="A8" s="11" t="s">
        <v>45</v>
      </c>
      <c r="B8" s="1" t="s">
        <v>37</v>
      </c>
      <c r="C8" s="1" t="s">
        <v>46</v>
      </c>
      <c r="D8" s="1" t="s">
        <v>39</v>
      </c>
      <c r="F8" s="17">
        <f t="shared" si="0"/>
        <v>50</v>
      </c>
      <c r="G8" s="19">
        <v>1</v>
      </c>
      <c r="H8" s="19">
        <v>0</v>
      </c>
      <c r="I8" s="19">
        <f t="shared" si="4"/>
        <v>1</v>
      </c>
      <c r="J8" s="17">
        <f t="shared" si="1"/>
        <v>5</v>
      </c>
      <c r="K8" s="17">
        <v>24</v>
      </c>
      <c r="L8" s="17">
        <v>4.1</v>
      </c>
      <c r="M8" s="17">
        <f t="shared" si="2"/>
        <v>28.1</v>
      </c>
      <c r="N8" s="17">
        <f t="shared" si="3"/>
        <v>42.15</v>
      </c>
      <c r="O8" s="17">
        <v>50</v>
      </c>
      <c r="P8" s="17">
        <f>[1]!STOCK[[#This Row],[Precio Final]]-[1]!STOCK[[#This Row],[Costo total]]</f>
        <v>5.425</v>
      </c>
      <c r="Q8" s="17"/>
      <c r="R8" s="17" t="s">
        <v>47</v>
      </c>
      <c r="S8" s="17"/>
      <c r="T8" s="17"/>
      <c r="U8" s="17"/>
      <c r="W8" s="35"/>
      <c r="X8" s="35"/>
      <c r="Y8" s="35"/>
      <c r="Z8" s="35"/>
      <c r="AA8" s="35"/>
      <c r="XFD8" s="36"/>
    </row>
    <row r="9" s="1" customFormat="1" ht="20" customHeight="1" spans="1:16384">
      <c r="A9" s="11" t="s">
        <v>48</v>
      </c>
      <c r="B9" s="1" t="s">
        <v>37</v>
      </c>
      <c r="C9" s="1" t="s">
        <v>49</v>
      </c>
      <c r="D9" s="1" t="s">
        <v>50</v>
      </c>
      <c r="F9" s="17">
        <f t="shared" si="0"/>
        <v>50</v>
      </c>
      <c r="G9" s="19">
        <v>1</v>
      </c>
      <c r="H9" s="19">
        <v>0</v>
      </c>
      <c r="I9" s="19">
        <f t="shared" si="4"/>
        <v>1</v>
      </c>
      <c r="J9" s="17">
        <f t="shared" si="1"/>
        <v>5</v>
      </c>
      <c r="K9" s="17">
        <v>19.77</v>
      </c>
      <c r="L9" s="17">
        <v>4.1</v>
      </c>
      <c r="M9" s="17">
        <f t="shared" si="2"/>
        <v>23.87</v>
      </c>
      <c r="N9" s="17">
        <f t="shared" si="3"/>
        <v>35.805</v>
      </c>
      <c r="O9" s="17">
        <v>50</v>
      </c>
      <c r="P9" s="17">
        <f>[1]!STOCK[[#This Row],[Precio Final]]-[1]!STOCK[[#This Row],[Costo total]]</f>
        <v>8.7777777777778</v>
      </c>
      <c r="Q9" s="17"/>
      <c r="R9" s="17" t="s">
        <v>51</v>
      </c>
      <c r="S9" s="17"/>
      <c r="T9" s="17"/>
      <c r="U9" s="17"/>
      <c r="W9" s="35"/>
      <c r="X9" s="35"/>
      <c r="Y9" s="35"/>
      <c r="Z9" s="35"/>
      <c r="AA9" s="35"/>
      <c r="XFD9" s="36"/>
    </row>
    <row r="10" s="1" customFormat="1" ht="20" customHeight="1" spans="1:16384">
      <c r="A10" s="11" t="s">
        <v>52</v>
      </c>
      <c r="B10" s="1" t="s">
        <v>37</v>
      </c>
      <c r="C10" s="1" t="s">
        <v>49</v>
      </c>
      <c r="D10" s="1" t="s">
        <v>39</v>
      </c>
      <c r="F10" s="17">
        <f t="shared" si="0"/>
        <v>50</v>
      </c>
      <c r="G10" s="19">
        <v>1</v>
      </c>
      <c r="H10" s="19">
        <v>0</v>
      </c>
      <c r="I10" s="19">
        <f t="shared" si="4"/>
        <v>1</v>
      </c>
      <c r="J10" s="17">
        <f t="shared" si="1"/>
        <v>5</v>
      </c>
      <c r="K10" s="17">
        <v>19.77</v>
      </c>
      <c r="L10" s="17">
        <v>4.1</v>
      </c>
      <c r="M10" s="17">
        <f t="shared" si="2"/>
        <v>23.87</v>
      </c>
      <c r="N10" s="17">
        <f t="shared" si="3"/>
        <v>35.805</v>
      </c>
      <c r="O10" s="17">
        <v>50</v>
      </c>
      <c r="P10" s="17">
        <f>[1]!STOCK[[#This Row],[Precio Final]]-[1]!STOCK[[#This Row],[Costo total]]</f>
        <v>7.05</v>
      </c>
      <c r="Q10" s="17"/>
      <c r="R10" s="17" t="s">
        <v>53</v>
      </c>
      <c r="S10" s="17"/>
      <c r="T10" s="17"/>
      <c r="U10" s="17"/>
      <c r="W10" s="35"/>
      <c r="X10" s="35"/>
      <c r="Y10" s="35"/>
      <c r="Z10" s="35"/>
      <c r="AA10" s="35"/>
      <c r="XFD10" s="36"/>
    </row>
    <row r="11" s="1" customFormat="1" ht="20" customHeight="1" spans="1:16384">
      <c r="A11" s="11" t="s">
        <v>54</v>
      </c>
      <c r="B11" s="1" t="s">
        <v>37</v>
      </c>
      <c r="C11" s="1" t="s">
        <v>49</v>
      </c>
      <c r="D11" s="1" t="s">
        <v>55</v>
      </c>
      <c r="F11" s="17">
        <f t="shared" si="0"/>
        <v>50</v>
      </c>
      <c r="G11" s="19">
        <v>1</v>
      </c>
      <c r="H11" s="19">
        <v>0</v>
      </c>
      <c r="I11" s="19">
        <f t="shared" si="4"/>
        <v>1</v>
      </c>
      <c r="J11" s="17">
        <f t="shared" si="1"/>
        <v>5</v>
      </c>
      <c r="K11" s="17">
        <v>19.77</v>
      </c>
      <c r="L11" s="17">
        <v>4.1</v>
      </c>
      <c r="M11" s="17">
        <f t="shared" si="2"/>
        <v>23.87</v>
      </c>
      <c r="N11" s="17">
        <f t="shared" si="3"/>
        <v>35.805</v>
      </c>
      <c r="O11" s="17">
        <v>50</v>
      </c>
      <c r="P11" s="17">
        <f>[1]!STOCK[[#This Row],[Precio Final]]-[1]!STOCK[[#This Row],[Costo total]]</f>
        <v>9</v>
      </c>
      <c r="Q11" s="17"/>
      <c r="R11" s="17" t="s">
        <v>56</v>
      </c>
      <c r="S11" s="17"/>
      <c r="T11" s="17"/>
      <c r="U11" s="17"/>
      <c r="W11" s="35"/>
      <c r="X11" s="35"/>
      <c r="Y11" s="35"/>
      <c r="Z11" s="35"/>
      <c r="AA11" s="35"/>
      <c r="XFD11" s="36"/>
    </row>
    <row r="12" s="1" customFormat="1" ht="20" customHeight="1" spans="1:16384">
      <c r="A12" s="11" t="s">
        <v>57</v>
      </c>
      <c r="B12" s="1" t="s">
        <v>37</v>
      </c>
      <c r="C12" s="1" t="s">
        <v>49</v>
      </c>
      <c r="D12" s="1" t="s">
        <v>58</v>
      </c>
      <c r="F12" s="17">
        <f t="shared" si="0"/>
        <v>50</v>
      </c>
      <c r="G12" s="19">
        <v>1</v>
      </c>
      <c r="H12" s="19">
        <v>0</v>
      </c>
      <c r="I12" s="19">
        <f t="shared" si="4"/>
        <v>1</v>
      </c>
      <c r="J12" s="17">
        <f t="shared" si="1"/>
        <v>5</v>
      </c>
      <c r="K12" s="17">
        <v>19.77</v>
      </c>
      <c r="L12" s="17">
        <v>4.1</v>
      </c>
      <c r="M12" s="17">
        <f t="shared" si="2"/>
        <v>23.87</v>
      </c>
      <c r="N12" s="17">
        <f t="shared" si="3"/>
        <v>35.805</v>
      </c>
      <c r="O12" s="17">
        <v>50</v>
      </c>
      <c r="P12" s="17">
        <f>[1]!STOCK[[#This Row],[Precio Final]]-[1]!STOCK[[#This Row],[Costo total]]</f>
        <v>9</v>
      </c>
      <c r="Q12" s="17"/>
      <c r="R12" s="17" t="s">
        <v>59</v>
      </c>
      <c r="S12" s="17"/>
      <c r="T12" s="17"/>
      <c r="U12" s="17"/>
      <c r="W12" s="35"/>
      <c r="X12" s="35"/>
      <c r="Y12" s="35"/>
      <c r="Z12" s="35"/>
      <c r="AA12" s="35"/>
      <c r="XFD12" s="36"/>
    </row>
    <row r="13" s="1" customFormat="1" ht="20" customHeight="1" spans="1:16384">
      <c r="A13" s="11" t="s">
        <v>60</v>
      </c>
      <c r="B13" s="1" t="s">
        <v>37</v>
      </c>
      <c r="C13" s="1" t="s">
        <v>61</v>
      </c>
      <c r="D13" s="1" t="s">
        <v>43</v>
      </c>
      <c r="F13" s="17">
        <f t="shared" si="0"/>
        <v>55</v>
      </c>
      <c r="G13" s="19">
        <v>1</v>
      </c>
      <c r="H13" s="19">
        <v>0</v>
      </c>
      <c r="I13" s="19">
        <f t="shared" si="4"/>
        <v>1</v>
      </c>
      <c r="J13" s="17">
        <f t="shared" si="1"/>
        <v>5.5</v>
      </c>
      <c r="K13" s="17">
        <v>23.1</v>
      </c>
      <c r="L13" s="17">
        <v>4.1</v>
      </c>
      <c r="M13" s="17">
        <f t="shared" si="2"/>
        <v>27.2</v>
      </c>
      <c r="N13" s="17">
        <f t="shared" si="3"/>
        <v>40.8</v>
      </c>
      <c r="O13" s="17">
        <v>55</v>
      </c>
      <c r="P13" s="17">
        <f>[1]!STOCK[[#This Row],[Precio Final]]-[1]!STOCK[[#This Row],[Costo total]]</f>
        <v>5.5</v>
      </c>
      <c r="Q13" s="17"/>
      <c r="R13" s="17" t="s">
        <v>62</v>
      </c>
      <c r="S13" s="17"/>
      <c r="T13" s="17"/>
      <c r="U13" s="17"/>
      <c r="W13" s="35"/>
      <c r="X13" s="35"/>
      <c r="Y13" s="35"/>
      <c r="Z13" s="35"/>
      <c r="AA13" s="35"/>
      <c r="XFD13" s="36"/>
    </row>
    <row r="14" s="1" customFormat="1" ht="20" customHeight="1" spans="1:16384">
      <c r="A14" s="11" t="s">
        <v>63</v>
      </c>
      <c r="B14" s="1" t="s">
        <v>37</v>
      </c>
      <c r="C14" s="1" t="s">
        <v>64</v>
      </c>
      <c r="D14" s="1" t="s">
        <v>50</v>
      </c>
      <c r="F14" s="17">
        <f t="shared" si="0"/>
        <v>60</v>
      </c>
      <c r="G14" s="19">
        <v>2</v>
      </c>
      <c r="H14" s="19">
        <v>0</v>
      </c>
      <c r="I14" s="19">
        <f t="shared" si="4"/>
        <v>2</v>
      </c>
      <c r="J14" s="17">
        <f t="shared" si="1"/>
        <v>6</v>
      </c>
      <c r="K14" s="17">
        <v>28</v>
      </c>
      <c r="L14" s="17">
        <v>4.1</v>
      </c>
      <c r="M14" s="17">
        <f t="shared" si="2"/>
        <v>32.1</v>
      </c>
      <c r="N14" s="17">
        <f t="shared" si="3"/>
        <v>48.15</v>
      </c>
      <c r="O14" s="17">
        <v>60</v>
      </c>
      <c r="P14" s="17">
        <f>[1]!STOCK[[#This Row],[Precio Final]]-[1]!STOCK[[#This Row],[Costo total]]</f>
        <v>8.3888888888889</v>
      </c>
      <c r="Q14" s="17"/>
      <c r="R14" s="17" t="s">
        <v>65</v>
      </c>
      <c r="S14" s="17"/>
      <c r="T14" s="17"/>
      <c r="U14" s="17"/>
      <c r="W14" s="35"/>
      <c r="X14" s="35"/>
      <c r="Y14" s="35"/>
      <c r="Z14" s="35"/>
      <c r="AA14" s="35"/>
      <c r="XFD14" s="36"/>
    </row>
    <row r="15" s="1" customFormat="1" ht="20" customHeight="1" spans="1:16384">
      <c r="A15" s="11" t="s">
        <v>66</v>
      </c>
      <c r="B15" s="1" t="s">
        <v>37</v>
      </c>
      <c r="C15" s="1" t="s">
        <v>64</v>
      </c>
      <c r="D15" s="1" t="s">
        <v>39</v>
      </c>
      <c r="F15" s="17">
        <f t="shared" si="0"/>
        <v>60</v>
      </c>
      <c r="G15" s="19">
        <v>1</v>
      </c>
      <c r="H15" s="19">
        <v>0</v>
      </c>
      <c r="I15" s="19">
        <f t="shared" si="4"/>
        <v>1</v>
      </c>
      <c r="J15" s="17">
        <f t="shared" si="1"/>
        <v>6</v>
      </c>
      <c r="K15" s="17">
        <v>28</v>
      </c>
      <c r="L15" s="17">
        <v>4.1</v>
      </c>
      <c r="M15" s="17">
        <f t="shared" si="2"/>
        <v>32.1</v>
      </c>
      <c r="N15" s="17">
        <f t="shared" si="3"/>
        <v>48.15</v>
      </c>
      <c r="O15" s="17">
        <v>60</v>
      </c>
      <c r="P15" s="17">
        <f>[1]!STOCK[[#This Row],[Precio Final]]-[1]!STOCK[[#This Row],[Costo total]]</f>
        <v>8.5555555555556</v>
      </c>
      <c r="Q15" s="17"/>
      <c r="R15" s="17" t="s">
        <v>67</v>
      </c>
      <c r="S15" s="17"/>
      <c r="T15" s="17"/>
      <c r="U15" s="17"/>
      <c r="W15" s="35"/>
      <c r="X15" s="35"/>
      <c r="Y15" s="35"/>
      <c r="Z15" s="35"/>
      <c r="AA15" s="35"/>
      <c r="XFD15" s="36"/>
    </row>
    <row r="16" s="1" customFormat="1" ht="20" customHeight="1" spans="1:16384">
      <c r="A16" s="11" t="s">
        <v>68</v>
      </c>
      <c r="B16" s="1" t="s">
        <v>69</v>
      </c>
      <c r="C16" s="1" t="s">
        <v>70</v>
      </c>
      <c r="D16" s="1" t="s">
        <v>71</v>
      </c>
      <c r="F16" s="17">
        <f t="shared" si="0"/>
        <v>50</v>
      </c>
      <c r="G16" s="19">
        <v>2</v>
      </c>
      <c r="H16" s="19">
        <v>0</v>
      </c>
      <c r="I16" s="19">
        <f t="shared" si="4"/>
        <v>2</v>
      </c>
      <c r="J16" s="17">
        <f t="shared" si="1"/>
        <v>5</v>
      </c>
      <c r="K16" s="17">
        <v>23</v>
      </c>
      <c r="L16" s="17">
        <v>4.1</v>
      </c>
      <c r="M16" s="17">
        <f t="shared" si="2"/>
        <v>27.1</v>
      </c>
      <c r="N16" s="17">
        <f t="shared" si="3"/>
        <v>40.65</v>
      </c>
      <c r="O16" s="17">
        <v>50</v>
      </c>
      <c r="P16" s="17">
        <f>[1]!STOCK[[#This Row],[Precio Final]]-[1]!STOCK[[#This Row],[Costo total]]</f>
        <v>8.5555555555556</v>
      </c>
      <c r="Q16" s="17"/>
      <c r="R16" s="17" t="s">
        <v>72</v>
      </c>
      <c r="S16" s="17"/>
      <c r="T16" s="17"/>
      <c r="U16" s="17"/>
      <c r="W16" s="35"/>
      <c r="X16" s="35"/>
      <c r="Y16" s="35"/>
      <c r="Z16" s="35"/>
      <c r="AA16" s="35"/>
      <c r="XFD16" s="36"/>
    </row>
    <row r="17" s="1" customFormat="1" ht="20" customHeight="1" spans="1:16384">
      <c r="A17" s="11" t="s">
        <v>73</v>
      </c>
      <c r="B17" s="1" t="s">
        <v>69</v>
      </c>
      <c r="C17" s="1" t="s">
        <v>74</v>
      </c>
      <c r="D17" s="1" t="s">
        <v>71</v>
      </c>
      <c r="F17" s="17">
        <f t="shared" si="0"/>
        <v>45</v>
      </c>
      <c r="G17" s="19">
        <v>1</v>
      </c>
      <c r="H17" s="19">
        <v>0</v>
      </c>
      <c r="I17" s="19">
        <f t="shared" si="4"/>
        <v>1</v>
      </c>
      <c r="J17" s="17">
        <f t="shared" si="1"/>
        <v>4.5</v>
      </c>
      <c r="K17" s="17">
        <v>23</v>
      </c>
      <c r="L17" s="17">
        <v>4.1</v>
      </c>
      <c r="M17" s="17">
        <f t="shared" si="2"/>
        <v>27.1</v>
      </c>
      <c r="N17" s="17">
        <f t="shared" si="3"/>
        <v>40.65</v>
      </c>
      <c r="O17" s="17">
        <v>45</v>
      </c>
      <c r="P17" s="17">
        <f>[1]!STOCK[[#This Row],[Precio Final]]-[1]!STOCK[[#This Row],[Costo total]]</f>
        <v>5.8</v>
      </c>
      <c r="Q17" s="17"/>
      <c r="R17" s="17" t="s">
        <v>75</v>
      </c>
      <c r="S17" s="17"/>
      <c r="T17" s="17"/>
      <c r="U17" s="17"/>
      <c r="W17" s="35"/>
      <c r="X17" s="35"/>
      <c r="Y17" s="35"/>
      <c r="Z17" s="35"/>
      <c r="AA17" s="35"/>
      <c r="XFD17" s="36"/>
    </row>
    <row r="18" s="1" customFormat="1" ht="20" customHeight="1" spans="1:16384">
      <c r="A18" s="11" t="s">
        <v>76</v>
      </c>
      <c r="B18" s="1" t="s">
        <v>69</v>
      </c>
      <c r="C18" s="1" t="s">
        <v>77</v>
      </c>
      <c r="D18" s="1" t="s">
        <v>71</v>
      </c>
      <c r="F18" s="17">
        <f t="shared" si="0"/>
        <v>55</v>
      </c>
      <c r="G18" s="19">
        <v>1</v>
      </c>
      <c r="H18" s="19">
        <v>0</v>
      </c>
      <c r="I18" s="19">
        <f t="shared" si="4"/>
        <v>1</v>
      </c>
      <c r="J18" s="17">
        <f t="shared" si="1"/>
        <v>5.5</v>
      </c>
      <c r="K18" s="17">
        <v>23.1</v>
      </c>
      <c r="L18" s="17">
        <v>4.1</v>
      </c>
      <c r="M18" s="17">
        <f t="shared" si="2"/>
        <v>27.2</v>
      </c>
      <c r="N18" s="17">
        <f t="shared" si="3"/>
        <v>40.8</v>
      </c>
      <c r="O18" s="17">
        <v>55</v>
      </c>
      <c r="P18" s="17">
        <f>[1]!STOCK[[#This Row],[Precio Final]]-[1]!STOCK[[#This Row],[Costo total]]</f>
        <v>8.5555555555556</v>
      </c>
      <c r="Q18" s="17"/>
      <c r="R18" s="17" t="s">
        <v>78</v>
      </c>
      <c r="S18" s="17"/>
      <c r="T18" s="17"/>
      <c r="U18" s="17"/>
      <c r="W18" s="35"/>
      <c r="X18" s="35"/>
      <c r="Y18" s="35"/>
      <c r="Z18" s="35"/>
      <c r="AA18" s="35"/>
      <c r="XFD18" s="36"/>
    </row>
    <row r="19" s="1" customFormat="1" ht="20" customHeight="1" spans="1:27">
      <c r="A19" s="11" t="s">
        <v>79</v>
      </c>
      <c r="B19" s="1" t="s">
        <v>69</v>
      </c>
      <c r="C19" s="1" t="s">
        <v>80</v>
      </c>
      <c r="D19" s="1" t="s">
        <v>71</v>
      </c>
      <c r="F19" s="17">
        <f t="shared" si="0"/>
        <v>40</v>
      </c>
      <c r="G19" s="19">
        <v>2</v>
      </c>
      <c r="H19" s="19">
        <v>0</v>
      </c>
      <c r="I19" s="19">
        <f t="shared" si="4"/>
        <v>2</v>
      </c>
      <c r="J19" s="17">
        <f t="shared" si="1"/>
        <v>4</v>
      </c>
      <c r="K19" s="17">
        <v>18</v>
      </c>
      <c r="L19" s="17">
        <v>4.1</v>
      </c>
      <c r="M19" s="17">
        <f t="shared" si="2"/>
        <v>22.1</v>
      </c>
      <c r="N19" s="17">
        <f t="shared" si="3"/>
        <v>33.15</v>
      </c>
      <c r="O19" s="17">
        <v>40</v>
      </c>
      <c r="P19" s="17">
        <f>[1]!STOCK[[#This Row],[Precio Final]]-[1]!STOCK[[#This Row],[Costo total]]</f>
        <v>8.5555555555556</v>
      </c>
      <c r="Q19" s="17"/>
      <c r="R19" s="17" t="s">
        <v>81</v>
      </c>
      <c r="S19" s="17"/>
      <c r="T19" s="17"/>
      <c r="U19" s="17"/>
      <c r="W19" s="35"/>
      <c r="X19" s="35"/>
      <c r="Y19" s="35"/>
      <c r="Z19" s="35"/>
      <c r="AA19" s="35"/>
    </row>
    <row r="20" s="1" customFormat="1" ht="20" customHeight="1" spans="1:27">
      <c r="A20" s="11" t="s">
        <v>82</v>
      </c>
      <c r="B20" s="1" t="s">
        <v>69</v>
      </c>
      <c r="C20" s="1" t="s">
        <v>83</v>
      </c>
      <c r="D20" s="1" t="s">
        <v>71</v>
      </c>
      <c r="F20" s="17">
        <f t="shared" si="0"/>
        <v>50</v>
      </c>
      <c r="G20" s="19">
        <v>2</v>
      </c>
      <c r="H20" s="19">
        <v>0</v>
      </c>
      <c r="I20" s="19">
        <f t="shared" si="4"/>
        <v>2</v>
      </c>
      <c r="J20" s="17">
        <f t="shared" si="1"/>
        <v>5</v>
      </c>
      <c r="K20" s="17">
        <v>23.1</v>
      </c>
      <c r="L20" s="17">
        <v>4.1</v>
      </c>
      <c r="M20" s="17">
        <f t="shared" si="2"/>
        <v>27.2</v>
      </c>
      <c r="N20" s="17">
        <f t="shared" si="3"/>
        <v>40.8</v>
      </c>
      <c r="O20" s="17">
        <v>50</v>
      </c>
      <c r="P20" s="17">
        <f>[1]!STOCK[[#This Row],[Precio Final]]-[1]!STOCK[[#This Row],[Costo total]]</f>
        <v>9.5555555555556</v>
      </c>
      <c r="Q20" s="17"/>
      <c r="R20" s="17" t="s">
        <v>84</v>
      </c>
      <c r="S20" s="17"/>
      <c r="T20" s="17"/>
      <c r="U20" s="17"/>
      <c r="W20" s="35"/>
      <c r="X20" s="35"/>
      <c r="Y20" s="35"/>
      <c r="Z20" s="35"/>
      <c r="AA20" s="35"/>
    </row>
    <row r="21" s="1" customFormat="1" ht="20" customHeight="1" spans="1:27">
      <c r="A21" s="11" t="s">
        <v>85</v>
      </c>
      <c r="B21" s="1" t="s">
        <v>69</v>
      </c>
      <c r="C21" s="1" t="s">
        <v>86</v>
      </c>
      <c r="D21" s="1" t="s">
        <v>71</v>
      </c>
      <c r="F21" s="17">
        <f t="shared" si="0"/>
        <v>55</v>
      </c>
      <c r="G21" s="19">
        <v>2</v>
      </c>
      <c r="H21" s="19">
        <v>0</v>
      </c>
      <c r="I21" s="19">
        <f t="shared" si="4"/>
        <v>2</v>
      </c>
      <c r="J21" s="17">
        <f t="shared" si="1"/>
        <v>5.5</v>
      </c>
      <c r="K21" s="17">
        <v>28.55</v>
      </c>
      <c r="L21" s="17">
        <v>4.1</v>
      </c>
      <c r="M21" s="17">
        <f t="shared" si="2"/>
        <v>32.65</v>
      </c>
      <c r="N21" s="17">
        <f t="shared" si="3"/>
        <v>48.975</v>
      </c>
      <c r="O21" s="17">
        <v>55</v>
      </c>
      <c r="P21" s="17">
        <f>[1]!STOCK[[#This Row],[Precio Final]]-[1]!STOCK[[#This Row],[Costo total]]</f>
        <v>16.7777777777778</v>
      </c>
      <c r="Q21" s="17"/>
      <c r="R21" s="17" t="s">
        <v>87</v>
      </c>
      <c r="S21" s="17"/>
      <c r="T21" s="17"/>
      <c r="U21" s="17"/>
      <c r="W21" s="35"/>
      <c r="X21" s="35"/>
      <c r="Y21" s="35"/>
      <c r="Z21" s="35"/>
      <c r="AA21" s="35"/>
    </row>
    <row r="22" s="1" customFormat="1" ht="20" customHeight="1" spans="1:27">
      <c r="A22" s="11" t="s">
        <v>88</v>
      </c>
      <c r="B22" s="1" t="s">
        <v>69</v>
      </c>
      <c r="C22" s="1" t="s">
        <v>89</v>
      </c>
      <c r="D22" s="1" t="s">
        <v>71</v>
      </c>
      <c r="F22" s="17">
        <f t="shared" si="0"/>
        <v>40</v>
      </c>
      <c r="G22" s="19">
        <v>1</v>
      </c>
      <c r="H22" s="19">
        <v>0</v>
      </c>
      <c r="I22" s="19">
        <f>G22-H22</f>
        <v>1</v>
      </c>
      <c r="J22" s="17">
        <f t="shared" si="1"/>
        <v>4</v>
      </c>
      <c r="K22" s="17">
        <v>17.12</v>
      </c>
      <c r="L22" s="17">
        <v>4.1</v>
      </c>
      <c r="M22" s="17">
        <f t="shared" si="2"/>
        <v>21.22</v>
      </c>
      <c r="N22" s="17">
        <f t="shared" si="3"/>
        <v>31.83</v>
      </c>
      <c r="O22" s="17">
        <v>40</v>
      </c>
      <c r="P22" s="17">
        <f>[1]!STOCK[[#This Row],[Precio Final]]-[1]!STOCK[[#This Row],[Costo total]]</f>
        <v>16.7777777777778</v>
      </c>
      <c r="Q22" s="17"/>
      <c r="R22" s="17" t="s">
        <v>90</v>
      </c>
      <c r="S22" s="17"/>
      <c r="T22" s="17"/>
      <c r="U22" s="17"/>
      <c r="W22" s="35"/>
      <c r="X22" s="35"/>
      <c r="Y22" s="35"/>
      <c r="Z22" s="35"/>
      <c r="AA22" s="35"/>
    </row>
    <row r="23" s="1" customFormat="1" ht="20" customHeight="1" spans="1:27">
      <c r="A23" s="11" t="s">
        <v>91</v>
      </c>
      <c r="B23" s="1" t="s">
        <v>69</v>
      </c>
      <c r="C23" s="1" t="s">
        <v>92</v>
      </c>
      <c r="D23" s="1" t="s">
        <v>71</v>
      </c>
      <c r="F23" s="17">
        <f t="shared" si="0"/>
        <v>40</v>
      </c>
      <c r="G23" s="19">
        <v>1</v>
      </c>
      <c r="H23" s="19">
        <v>0</v>
      </c>
      <c r="I23" s="19">
        <f>G23-H23</f>
        <v>1</v>
      </c>
      <c r="J23" s="17">
        <f t="shared" si="1"/>
        <v>4</v>
      </c>
      <c r="K23" s="17">
        <v>17.12</v>
      </c>
      <c r="L23" s="17">
        <v>4.1</v>
      </c>
      <c r="M23" s="17">
        <f t="shared" si="2"/>
        <v>21.22</v>
      </c>
      <c r="N23" s="17">
        <f t="shared" si="3"/>
        <v>31.83</v>
      </c>
      <c r="O23" s="17">
        <v>40</v>
      </c>
      <c r="P23" s="17">
        <f>[1]!STOCK[[#This Row],[Precio Final]]-[1]!STOCK[[#This Row],[Costo total]]</f>
        <v>13.1111111111111</v>
      </c>
      <c r="Q23" s="17"/>
      <c r="R23" s="17" t="s">
        <v>93</v>
      </c>
      <c r="S23" s="17"/>
      <c r="T23" s="17"/>
      <c r="U23" s="17"/>
      <c r="W23" s="35"/>
      <c r="X23" s="35"/>
      <c r="Y23" s="35"/>
      <c r="Z23" s="35"/>
      <c r="AA23" s="35"/>
    </row>
    <row r="24" s="1" customFormat="1" ht="20" customHeight="1" spans="1:27">
      <c r="A24" s="11" t="s">
        <v>94</v>
      </c>
      <c r="B24" s="1" t="s">
        <v>69</v>
      </c>
      <c r="C24" s="1" t="s">
        <v>95</v>
      </c>
      <c r="D24" s="1" t="s">
        <v>96</v>
      </c>
      <c r="F24" s="17">
        <f t="shared" si="0"/>
        <v>40</v>
      </c>
      <c r="G24" s="19">
        <v>2</v>
      </c>
      <c r="H24" s="19">
        <v>0</v>
      </c>
      <c r="I24" s="19">
        <f>G24-H24</f>
        <v>2</v>
      </c>
      <c r="J24" s="17">
        <f t="shared" si="1"/>
        <v>4</v>
      </c>
      <c r="K24" s="17">
        <v>17.77</v>
      </c>
      <c r="L24" s="17">
        <v>4.1</v>
      </c>
      <c r="M24" s="17">
        <f t="shared" si="2"/>
        <v>21.87</v>
      </c>
      <c r="N24" s="17">
        <f t="shared" si="3"/>
        <v>32.805</v>
      </c>
      <c r="O24" s="17">
        <v>40</v>
      </c>
      <c r="P24" s="17">
        <f>[1]!STOCK[[#This Row],[Precio Final]]-[1]!STOCK[[#This Row],[Costo total]]</f>
        <v>3.44444444444444</v>
      </c>
      <c r="Q24" s="17"/>
      <c r="R24" s="17" t="s">
        <v>97</v>
      </c>
      <c r="S24" s="17"/>
      <c r="T24" s="17"/>
      <c r="U24" s="17"/>
      <c r="W24" s="35"/>
      <c r="X24" s="35"/>
      <c r="Y24" s="35"/>
      <c r="Z24" s="35"/>
      <c r="AA24" s="35"/>
    </row>
    <row r="25" s="1" customFormat="1" ht="20" customHeight="1" spans="1:27">
      <c r="A25" s="11" t="s">
        <v>98</v>
      </c>
      <c r="B25" s="1" t="s">
        <v>69</v>
      </c>
      <c r="C25" s="1" t="s">
        <v>99</v>
      </c>
      <c r="D25" s="1" t="s">
        <v>96</v>
      </c>
      <c r="F25" s="17">
        <f t="shared" si="0"/>
        <v>40</v>
      </c>
      <c r="G25" s="19">
        <v>1</v>
      </c>
      <c r="H25" s="19">
        <v>0</v>
      </c>
      <c r="I25" s="19">
        <f>G25-H25</f>
        <v>1</v>
      </c>
      <c r="J25" s="17">
        <f t="shared" si="1"/>
        <v>4</v>
      </c>
      <c r="K25" s="17">
        <v>17.66</v>
      </c>
      <c r="L25" s="17">
        <v>4.1</v>
      </c>
      <c r="M25" s="17">
        <f t="shared" si="2"/>
        <v>21.76</v>
      </c>
      <c r="N25" s="17">
        <f t="shared" si="3"/>
        <v>32.64</v>
      </c>
      <c r="O25" s="17">
        <v>40</v>
      </c>
      <c r="P25" s="17">
        <f>[1]!STOCK[[#This Row],[Precio Final]]-[1]!STOCK[[#This Row],[Costo total]]</f>
        <v>10.9222222222222</v>
      </c>
      <c r="Q25" s="17"/>
      <c r="R25" s="17" t="s">
        <v>100</v>
      </c>
      <c r="S25" s="17"/>
      <c r="T25" s="17"/>
      <c r="U25" s="17"/>
      <c r="W25" s="35"/>
      <c r="X25" s="35"/>
      <c r="Y25" s="35"/>
      <c r="Z25" s="35"/>
      <c r="AA25" s="35"/>
    </row>
    <row r="26" s="1" customFormat="1" ht="20" customHeight="1" spans="1:27">
      <c r="A26" s="11" t="s">
        <v>101</v>
      </c>
      <c r="B26" s="1" t="s">
        <v>69</v>
      </c>
      <c r="C26" s="1" t="s">
        <v>102</v>
      </c>
      <c r="D26" s="1" t="s">
        <v>96</v>
      </c>
      <c r="F26" s="17">
        <f t="shared" si="0"/>
        <v>40</v>
      </c>
      <c r="G26" s="19">
        <v>3</v>
      </c>
      <c r="H26" s="19">
        <v>0</v>
      </c>
      <c r="I26" s="19">
        <f>G26-H26</f>
        <v>3</v>
      </c>
      <c r="J26" s="17">
        <f t="shared" si="1"/>
        <v>4</v>
      </c>
      <c r="K26" s="17">
        <v>17.15</v>
      </c>
      <c r="L26" s="17">
        <v>4.1</v>
      </c>
      <c r="M26" s="17">
        <f t="shared" si="2"/>
        <v>21.25</v>
      </c>
      <c r="N26" s="17">
        <f t="shared" si="3"/>
        <v>31.875</v>
      </c>
      <c r="O26" s="17">
        <v>40</v>
      </c>
      <c r="P26" s="17">
        <f>[1]!STOCK[[#This Row],[Precio Final]]-[1]!STOCK[[#This Row],[Costo total]]</f>
        <v>7.22222222222222</v>
      </c>
      <c r="Q26" s="17"/>
      <c r="R26" s="17" t="s">
        <v>103</v>
      </c>
      <c r="S26" s="17"/>
      <c r="T26" s="17"/>
      <c r="U26" s="17"/>
      <c r="W26" s="35"/>
      <c r="X26" s="35"/>
      <c r="Y26" s="35"/>
      <c r="Z26" s="35"/>
      <c r="AA26" s="35"/>
    </row>
    <row r="27" s="1" customFormat="1" ht="20" customHeight="1" spans="1:27">
      <c r="A27" s="11" t="s">
        <v>104</v>
      </c>
      <c r="B27" s="1" t="s">
        <v>69</v>
      </c>
      <c r="C27" s="1" t="s">
        <v>105</v>
      </c>
      <c r="D27" s="1" t="s">
        <v>96</v>
      </c>
      <c r="F27" s="17">
        <v>40</v>
      </c>
      <c r="G27" s="19">
        <v>2</v>
      </c>
      <c r="H27" s="19">
        <v>0</v>
      </c>
      <c r="I27" s="19">
        <f>G27-H27</f>
        <v>2</v>
      </c>
      <c r="J27" s="17">
        <f t="shared" si="1"/>
        <v>4</v>
      </c>
      <c r="K27" s="17">
        <v>13.17</v>
      </c>
      <c r="L27" s="17">
        <v>4.1</v>
      </c>
      <c r="M27" s="17">
        <f t="shared" si="2"/>
        <v>17.27</v>
      </c>
      <c r="N27" s="17">
        <f t="shared" si="3"/>
        <v>25.905</v>
      </c>
      <c r="O27" s="17">
        <v>35</v>
      </c>
      <c r="P27" s="17">
        <f>[1]!STOCK[[#This Row],[Precio Final]]-[1]!STOCK[[#This Row],[Costo total]]</f>
        <v>4.6</v>
      </c>
      <c r="Q27" s="17"/>
      <c r="R27" s="17" t="s">
        <v>106</v>
      </c>
      <c r="S27" s="17"/>
      <c r="T27" s="17"/>
      <c r="U27" s="17"/>
      <c r="W27" s="35"/>
      <c r="X27" s="35"/>
      <c r="Y27" s="35"/>
      <c r="Z27" s="35"/>
      <c r="AA27" s="35"/>
    </row>
    <row r="28" s="1" customFormat="1" ht="20" customHeight="1" spans="1:27">
      <c r="A28" s="11" t="s">
        <v>107</v>
      </c>
      <c r="B28" s="1" t="s">
        <v>69</v>
      </c>
      <c r="C28" s="1" t="s">
        <v>108</v>
      </c>
      <c r="D28" s="1" t="s">
        <v>71</v>
      </c>
      <c r="F28" s="17">
        <f t="shared" ref="F28:F32" si="5">O28</f>
        <v>35</v>
      </c>
      <c r="G28" s="19">
        <v>2</v>
      </c>
      <c r="H28" s="19">
        <v>0</v>
      </c>
      <c r="I28" s="19">
        <f>G28-H28</f>
        <v>2</v>
      </c>
      <c r="J28" s="17">
        <f t="shared" si="1"/>
        <v>3.5</v>
      </c>
      <c r="K28" s="17">
        <v>11</v>
      </c>
      <c r="L28" s="17">
        <v>4.1</v>
      </c>
      <c r="M28" s="17">
        <f t="shared" si="2"/>
        <v>15.1</v>
      </c>
      <c r="N28" s="17">
        <f t="shared" si="3"/>
        <v>22.65</v>
      </c>
      <c r="O28" s="17">
        <v>35</v>
      </c>
      <c r="P28" s="17">
        <f>[1]!STOCK[[#This Row],[Precio Final]]-[1]!STOCK[[#This Row],[Costo total]]</f>
        <v>7.18888888888889</v>
      </c>
      <c r="Q28" s="17"/>
      <c r="R28" s="17" t="s">
        <v>109</v>
      </c>
      <c r="S28" s="17"/>
      <c r="T28" s="17"/>
      <c r="U28" s="17"/>
      <c r="W28" s="35"/>
      <c r="X28" s="35"/>
      <c r="Y28" s="35"/>
      <c r="Z28" s="35"/>
      <c r="AA28" s="35"/>
    </row>
    <row r="29" s="1" customFormat="1" ht="20" customHeight="1" spans="1:27">
      <c r="A29" s="11" t="s">
        <v>110</v>
      </c>
      <c r="B29" s="1" t="s">
        <v>69</v>
      </c>
      <c r="C29" s="1" t="s">
        <v>111</v>
      </c>
      <c r="D29" s="1" t="s">
        <v>112</v>
      </c>
      <c r="F29" s="17">
        <f t="shared" si="5"/>
        <v>35</v>
      </c>
      <c r="G29" s="19">
        <v>3</v>
      </c>
      <c r="H29" s="19">
        <v>0</v>
      </c>
      <c r="I29" s="19">
        <f>G29-H29</f>
        <v>3</v>
      </c>
      <c r="J29" s="17">
        <f t="shared" si="1"/>
        <v>3.5</v>
      </c>
      <c r="K29" s="17">
        <v>8.79</v>
      </c>
      <c r="L29" s="17">
        <v>4.1</v>
      </c>
      <c r="M29" s="17">
        <f t="shared" si="2"/>
        <v>12.89</v>
      </c>
      <c r="N29" s="17">
        <f t="shared" si="3"/>
        <v>19.335</v>
      </c>
      <c r="O29" s="17">
        <v>35</v>
      </c>
      <c r="P29" s="17">
        <f>[1]!STOCK[[#This Row],[Precio Final]]-[1]!STOCK[[#This Row],[Costo total]]</f>
        <v>6.96666666666667</v>
      </c>
      <c r="Q29" s="17"/>
      <c r="R29" s="17" t="s">
        <v>113</v>
      </c>
      <c r="S29" s="17"/>
      <c r="T29" s="17"/>
      <c r="U29" s="17"/>
      <c r="W29" s="35"/>
      <c r="X29" s="35"/>
      <c r="Y29" s="35"/>
      <c r="Z29" s="35"/>
      <c r="AA29" s="35"/>
    </row>
    <row r="30" s="1" customFormat="1" ht="20" customHeight="1" spans="1:27">
      <c r="A30" s="11" t="s">
        <v>114</v>
      </c>
      <c r="B30" s="1" t="s">
        <v>69</v>
      </c>
      <c r="C30" s="1" t="s">
        <v>115</v>
      </c>
      <c r="D30" s="1" t="s">
        <v>71</v>
      </c>
      <c r="F30" s="17">
        <f t="shared" si="5"/>
        <v>35</v>
      </c>
      <c r="G30" s="19">
        <v>1</v>
      </c>
      <c r="H30" s="19">
        <v>0</v>
      </c>
      <c r="I30" s="19">
        <f>G30-H30</f>
        <v>1</v>
      </c>
      <c r="J30" s="17">
        <f t="shared" si="1"/>
        <v>3.5</v>
      </c>
      <c r="K30" s="17">
        <v>14.29</v>
      </c>
      <c r="L30" s="17">
        <v>4.1</v>
      </c>
      <c r="M30" s="17">
        <f t="shared" si="2"/>
        <v>18.39</v>
      </c>
      <c r="N30" s="17">
        <f t="shared" si="3"/>
        <v>27.585</v>
      </c>
      <c r="O30" s="17">
        <v>35</v>
      </c>
      <c r="P30" s="17">
        <f>[1]!STOCK[[#This Row],[Precio Final]]-[1]!STOCK[[#This Row],[Costo total]]</f>
        <v>8.38636363636364</v>
      </c>
      <c r="Q30" s="17"/>
      <c r="R30" s="17" t="s">
        <v>116</v>
      </c>
      <c r="S30" s="17"/>
      <c r="T30" s="17"/>
      <c r="U30" s="17"/>
      <c r="W30" s="35"/>
      <c r="X30" s="35"/>
      <c r="Y30" s="35"/>
      <c r="Z30" s="35"/>
      <c r="AA30" s="35"/>
    </row>
    <row r="31" s="1" customFormat="1" ht="20" customHeight="1" spans="1:27">
      <c r="A31" s="11" t="s">
        <v>117</v>
      </c>
      <c r="B31" s="1" t="s">
        <v>69</v>
      </c>
      <c r="C31" s="1" t="s">
        <v>118</v>
      </c>
      <c r="D31" s="1" t="s">
        <v>96</v>
      </c>
      <c r="F31" s="17">
        <f t="shared" si="5"/>
        <v>40</v>
      </c>
      <c r="G31" s="19">
        <v>3</v>
      </c>
      <c r="H31" s="19">
        <v>0</v>
      </c>
      <c r="I31" s="19">
        <f>G31-H31</f>
        <v>3</v>
      </c>
      <c r="J31" s="17">
        <f t="shared" si="1"/>
        <v>4</v>
      </c>
      <c r="K31" s="17">
        <v>21.95</v>
      </c>
      <c r="L31" s="17">
        <v>4.1</v>
      </c>
      <c r="M31" s="17">
        <f t="shared" si="2"/>
        <v>26.05</v>
      </c>
      <c r="N31" s="17">
        <f t="shared" si="3"/>
        <v>39.075</v>
      </c>
      <c r="O31" s="17">
        <v>40</v>
      </c>
      <c r="P31" s="17">
        <f>[1]!STOCK[[#This Row],[Precio Final]]-[1]!STOCK[[#This Row],[Costo total]]</f>
        <v>21.19</v>
      </c>
      <c r="Q31" s="17"/>
      <c r="R31" s="17" t="s">
        <v>119</v>
      </c>
      <c r="S31" s="17"/>
      <c r="T31" s="17"/>
      <c r="U31" s="17"/>
      <c r="W31" s="35"/>
      <c r="X31" s="35"/>
      <c r="Y31" s="35"/>
      <c r="Z31" s="35"/>
      <c r="AA31" s="35"/>
    </row>
    <row r="32" s="1" customFormat="1" ht="20" customHeight="1" spans="1:27">
      <c r="A32" s="11" t="s">
        <v>120</v>
      </c>
      <c r="B32" s="1" t="s">
        <v>69</v>
      </c>
      <c r="C32" s="1" t="s">
        <v>121</v>
      </c>
      <c r="D32" s="1" t="s">
        <v>96</v>
      </c>
      <c r="F32" s="17">
        <f t="shared" si="5"/>
        <v>50</v>
      </c>
      <c r="G32" s="19">
        <v>2</v>
      </c>
      <c r="H32" s="19">
        <v>0</v>
      </c>
      <c r="I32" s="19">
        <f>G32-H32</f>
        <v>2</v>
      </c>
      <c r="J32" s="17">
        <f t="shared" si="1"/>
        <v>5</v>
      </c>
      <c r="K32" s="17">
        <v>28.55</v>
      </c>
      <c r="L32" s="17">
        <v>4.1</v>
      </c>
      <c r="M32" s="17">
        <f t="shared" si="2"/>
        <v>32.65</v>
      </c>
      <c r="N32" s="17">
        <f t="shared" si="3"/>
        <v>48.975</v>
      </c>
      <c r="O32" s="17">
        <v>50</v>
      </c>
      <c r="P32" s="17">
        <f>[1]!STOCK[[#This Row],[Precio Final]]-[1]!STOCK[[#This Row],[Costo total]]</f>
        <v>11.8295454545455</v>
      </c>
      <c r="Q32" s="17"/>
      <c r="R32" s="17" t="s">
        <v>122</v>
      </c>
      <c r="S32" s="17"/>
      <c r="T32" s="17"/>
      <c r="U32" s="17"/>
      <c r="W32" s="35"/>
      <c r="X32" s="35"/>
      <c r="Y32" s="35"/>
      <c r="Z32" s="35"/>
      <c r="AA32" s="35"/>
    </row>
    <row r="33" s="1" customFormat="1" ht="20" customHeight="1" spans="1:27">
      <c r="A33" s="11" t="s">
        <v>123</v>
      </c>
      <c r="B33" s="1" t="s">
        <v>124</v>
      </c>
      <c r="C33" s="1" t="s">
        <v>125</v>
      </c>
      <c r="D33" s="1" t="s">
        <v>126</v>
      </c>
      <c r="F33" s="17">
        <v>50</v>
      </c>
      <c r="G33" s="19">
        <v>1</v>
      </c>
      <c r="H33" s="19">
        <v>0</v>
      </c>
      <c r="I33" s="19">
        <f>G33-H33</f>
        <v>1</v>
      </c>
      <c r="J33" s="17">
        <f t="shared" si="1"/>
        <v>5</v>
      </c>
      <c r="K33" s="17">
        <v>19.77</v>
      </c>
      <c r="L33" s="17">
        <v>4.1</v>
      </c>
      <c r="M33" s="17">
        <f t="shared" si="2"/>
        <v>23.87</v>
      </c>
      <c r="N33" s="17">
        <f t="shared" si="3"/>
        <v>35.805</v>
      </c>
      <c r="O33" s="17">
        <v>45</v>
      </c>
      <c r="P33" s="17">
        <f>[1]!STOCK[[#This Row],[Precio Final]]-[1]!STOCK[[#This Row],[Costo total]]</f>
        <v>5.68235294117647</v>
      </c>
      <c r="Q33" s="17"/>
      <c r="R33" s="17" t="s">
        <v>127</v>
      </c>
      <c r="S33" s="17"/>
      <c r="T33" s="17"/>
      <c r="U33" s="17"/>
      <c r="W33" s="35"/>
      <c r="X33" s="35"/>
      <c r="Y33" s="35"/>
      <c r="Z33" s="35"/>
      <c r="AA33" s="35"/>
    </row>
    <row r="34" s="1" customFormat="1" ht="20" customHeight="1" spans="1:27">
      <c r="A34" s="11" t="s">
        <v>128</v>
      </c>
      <c r="B34" s="1" t="s">
        <v>129</v>
      </c>
      <c r="C34" s="1" t="s">
        <v>130</v>
      </c>
      <c r="D34" s="1" t="s">
        <v>131</v>
      </c>
      <c r="F34" s="17">
        <f t="shared" ref="F34:F38" si="6">O34</f>
        <v>50</v>
      </c>
      <c r="G34" s="19">
        <v>1</v>
      </c>
      <c r="H34" s="19">
        <v>0</v>
      </c>
      <c r="I34" s="19">
        <f>G34-H34</f>
        <v>1</v>
      </c>
      <c r="J34" s="17">
        <f t="shared" si="1"/>
        <v>5</v>
      </c>
      <c r="K34" s="17">
        <v>18.45</v>
      </c>
      <c r="L34" s="17">
        <v>4.1</v>
      </c>
      <c r="M34" s="17">
        <f t="shared" si="2"/>
        <v>22.55</v>
      </c>
      <c r="N34" s="17">
        <f t="shared" si="3"/>
        <v>33.825</v>
      </c>
      <c r="O34" s="17">
        <v>50</v>
      </c>
      <c r="P34" s="17">
        <f>[1]!STOCK[[#This Row],[Precio Final]]-[1]!STOCK[[#This Row],[Costo total]]</f>
        <v>5.68235294117647</v>
      </c>
      <c r="Q34" s="17"/>
      <c r="R34" s="17" t="s">
        <v>132</v>
      </c>
      <c r="S34" s="17"/>
      <c r="T34" s="17"/>
      <c r="U34" s="17"/>
      <c r="W34" s="35"/>
      <c r="X34" s="35"/>
      <c r="Y34" s="35"/>
      <c r="Z34" s="35"/>
      <c r="AA34" s="35"/>
    </row>
    <row r="35" s="1" customFormat="1" ht="20" customHeight="1" spans="1:27">
      <c r="A35" s="11" t="s">
        <v>133</v>
      </c>
      <c r="B35" s="1" t="s">
        <v>134</v>
      </c>
      <c r="C35" s="1" t="s">
        <v>135</v>
      </c>
      <c r="D35" s="1" t="s">
        <v>136</v>
      </c>
      <c r="F35" s="17">
        <f t="shared" si="6"/>
        <v>40</v>
      </c>
      <c r="G35" s="19">
        <v>1</v>
      </c>
      <c r="H35" s="19">
        <v>0</v>
      </c>
      <c r="I35" s="19">
        <f>G35-H35</f>
        <v>1</v>
      </c>
      <c r="J35" s="17">
        <f t="shared" si="1"/>
        <v>4</v>
      </c>
      <c r="K35" s="17">
        <v>13.19</v>
      </c>
      <c r="L35" s="17">
        <v>4.1</v>
      </c>
      <c r="M35" s="17">
        <f t="shared" si="2"/>
        <v>17.29</v>
      </c>
      <c r="N35" s="17">
        <f t="shared" si="3"/>
        <v>25.935</v>
      </c>
      <c r="O35" s="17">
        <v>40</v>
      </c>
      <c r="P35" s="17">
        <f>[1]!STOCK[[#This Row],[Precio Final]]-[1]!STOCK[[#This Row],[Costo total]]</f>
        <v>3.4705882352941</v>
      </c>
      <c r="Q35" s="17"/>
      <c r="R35" s="17" t="s">
        <v>137</v>
      </c>
      <c r="S35" s="17"/>
      <c r="T35" s="17"/>
      <c r="U35" s="17"/>
      <c r="W35" s="35"/>
      <c r="X35" s="35"/>
      <c r="Y35" s="35"/>
      <c r="Z35" s="35"/>
      <c r="AA35" s="35"/>
    </row>
    <row r="36" s="1" customFormat="1" ht="20" customHeight="1" spans="1:27">
      <c r="A36" s="11" t="s">
        <v>138</v>
      </c>
      <c r="B36" s="1" t="s">
        <v>124</v>
      </c>
      <c r="C36" s="1" t="s">
        <v>139</v>
      </c>
      <c r="D36" s="1" t="s">
        <v>126</v>
      </c>
      <c r="F36" s="17">
        <f t="shared" si="6"/>
        <v>45</v>
      </c>
      <c r="G36" s="19">
        <v>1</v>
      </c>
      <c r="H36" s="19">
        <v>0</v>
      </c>
      <c r="I36" s="19">
        <f>G36-H36</f>
        <v>1</v>
      </c>
      <c r="J36" s="17">
        <f t="shared" si="1"/>
        <v>4.5</v>
      </c>
      <c r="K36" s="17">
        <v>15.16</v>
      </c>
      <c r="L36" s="17">
        <v>4.1</v>
      </c>
      <c r="M36" s="17">
        <f t="shared" si="2"/>
        <v>19.26</v>
      </c>
      <c r="N36" s="17">
        <f t="shared" si="3"/>
        <v>28.89</v>
      </c>
      <c r="O36" s="17">
        <v>45</v>
      </c>
      <c r="P36" s="17">
        <f>[1]!STOCK[[#This Row],[Precio Final]]-[1]!STOCK[[#This Row],[Costo total]]</f>
        <v>8.3823529411765</v>
      </c>
      <c r="Q36" s="17"/>
      <c r="R36" s="17" t="s">
        <v>140</v>
      </c>
      <c r="S36" s="17"/>
      <c r="T36" s="17"/>
      <c r="U36" s="17"/>
      <c r="W36" s="35"/>
      <c r="X36" s="35"/>
      <c r="Y36" s="35"/>
      <c r="Z36" s="35"/>
      <c r="AA36" s="35"/>
    </row>
    <row r="37" s="1" customFormat="1" ht="20" customHeight="1" spans="1:27">
      <c r="A37" s="11" t="s">
        <v>141</v>
      </c>
      <c r="B37" s="1" t="s">
        <v>142</v>
      </c>
      <c r="C37" s="1" t="s">
        <v>143</v>
      </c>
      <c r="D37" s="1" t="s">
        <v>126</v>
      </c>
      <c r="F37" s="17">
        <f t="shared" si="6"/>
        <v>35</v>
      </c>
      <c r="G37" s="19">
        <v>1</v>
      </c>
      <c r="H37" s="19">
        <v>0</v>
      </c>
      <c r="I37" s="19">
        <f>G37-H37</f>
        <v>1</v>
      </c>
      <c r="J37" s="17">
        <f t="shared" si="1"/>
        <v>3.5</v>
      </c>
      <c r="K37" s="17">
        <v>16.49</v>
      </c>
      <c r="L37" s="17">
        <v>4.1</v>
      </c>
      <c r="M37" s="17">
        <f t="shared" si="2"/>
        <v>20.59</v>
      </c>
      <c r="N37" s="17">
        <f t="shared" si="3"/>
        <v>30.885</v>
      </c>
      <c r="O37" s="17">
        <v>35</v>
      </c>
      <c r="P37" s="17">
        <f>[1]!STOCK[[#This Row],[Precio Final]]-[1]!STOCK[[#This Row],[Costo total]]</f>
        <v>4.7058823529412</v>
      </c>
      <c r="Q37" s="17"/>
      <c r="R37" s="17" t="s">
        <v>144</v>
      </c>
      <c r="S37" s="17"/>
      <c r="T37" s="17"/>
      <c r="U37" s="17"/>
      <c r="W37" s="35"/>
      <c r="X37" s="35"/>
      <c r="Y37" s="35"/>
      <c r="Z37" s="35"/>
      <c r="AA37" s="35"/>
    </row>
    <row r="38" s="1" customFormat="1" ht="20" customHeight="1" spans="1:27">
      <c r="A38" s="11" t="s">
        <v>145</v>
      </c>
      <c r="B38" s="1" t="s">
        <v>142</v>
      </c>
      <c r="C38" s="1" t="s">
        <v>146</v>
      </c>
      <c r="D38" s="1" t="s">
        <v>126</v>
      </c>
      <c r="F38" s="17">
        <f t="shared" si="6"/>
        <v>35</v>
      </c>
      <c r="G38" s="19">
        <v>1</v>
      </c>
      <c r="H38" s="19">
        <v>0</v>
      </c>
      <c r="I38" s="19">
        <f>G38-H38</f>
        <v>1</v>
      </c>
      <c r="J38" s="17">
        <f t="shared" si="1"/>
        <v>3.5</v>
      </c>
      <c r="K38" s="17">
        <v>10.99</v>
      </c>
      <c r="L38" s="17">
        <v>4.1</v>
      </c>
      <c r="M38" s="17">
        <f t="shared" si="2"/>
        <v>15.09</v>
      </c>
      <c r="N38" s="17">
        <f t="shared" si="3"/>
        <v>22.635</v>
      </c>
      <c r="O38" s="17">
        <v>35</v>
      </c>
      <c r="P38" s="17">
        <f>[1]!STOCK[[#This Row],[Precio Final]]-[1]!STOCK[[#This Row],[Costo total]]</f>
        <v>4.95</v>
      </c>
      <c r="Q38" s="17"/>
      <c r="R38" s="17" t="s">
        <v>147</v>
      </c>
      <c r="S38" s="17"/>
      <c r="T38" s="17"/>
      <c r="U38" s="17"/>
      <c r="W38" s="35"/>
      <c r="X38" s="35"/>
      <c r="Y38" s="35"/>
      <c r="Z38" s="35"/>
      <c r="AA38" s="35"/>
    </row>
    <row r="39" s="2" customFormat="1" ht="14.8" spans="1:23">
      <c r="A39" s="13"/>
      <c r="B39" s="14"/>
      <c r="C39" s="14"/>
      <c r="D39" s="14"/>
      <c r="E39" s="14"/>
      <c r="F39" s="20"/>
      <c r="G39" s="21"/>
      <c r="H39" s="22"/>
      <c r="I39" s="29"/>
      <c r="J39" s="30"/>
      <c r="K39" s="31"/>
      <c r="L39" s="31"/>
      <c r="M39" s="14"/>
      <c r="N39" s="14"/>
      <c r="O39" s="30"/>
      <c r="P39" s="8"/>
      <c r="Q39" s="14"/>
      <c r="R39" s="14"/>
      <c r="S39" s="14"/>
      <c r="T39" s="14"/>
      <c r="U39" s="14"/>
      <c r="V39" s="14"/>
      <c r="W39" s="14"/>
    </row>
    <row r="40" s="2" customFormat="1" ht="14.8" spans="1:23">
      <c r="A40" s="13"/>
      <c r="B40" s="14"/>
      <c r="C40" s="14"/>
      <c r="D40" s="14"/>
      <c r="E40" s="14"/>
      <c r="F40" s="20"/>
      <c r="G40" s="21"/>
      <c r="H40" s="22"/>
      <c r="I40" s="29"/>
      <c r="J40" s="30"/>
      <c r="K40" s="31"/>
      <c r="L40" s="31"/>
      <c r="M40" s="14"/>
      <c r="N40" s="14"/>
      <c r="O40" s="30"/>
      <c r="P40" s="8"/>
      <c r="Q40" s="14"/>
      <c r="R40" s="14"/>
      <c r="S40" s="14"/>
      <c r="T40" s="14"/>
      <c r="U40" s="14"/>
      <c r="V40" s="14"/>
      <c r="W40" s="14"/>
    </row>
    <row r="41" s="2" customFormat="1" ht="14.8" spans="1:23">
      <c r="A41" s="13"/>
      <c r="B41" s="14"/>
      <c r="C41" s="14"/>
      <c r="D41" s="14"/>
      <c r="E41" s="14"/>
      <c r="F41" s="20"/>
      <c r="G41" s="21"/>
      <c r="H41" s="22"/>
      <c r="I41" s="29"/>
      <c r="J41" s="30"/>
      <c r="K41" s="31"/>
      <c r="L41" s="31"/>
      <c r="M41" s="14"/>
      <c r="N41" s="14"/>
      <c r="O41" s="30"/>
      <c r="P41" s="8"/>
      <c r="Q41" s="14"/>
      <c r="R41" s="14"/>
      <c r="S41" s="14"/>
      <c r="T41" s="14"/>
      <c r="U41" s="14"/>
      <c r="V41" s="14"/>
      <c r="W41" s="14"/>
    </row>
    <row r="42" s="2" customFormat="1" ht="14.8" spans="1:23">
      <c r="A42" s="13"/>
      <c r="B42" s="14"/>
      <c r="C42" s="14"/>
      <c r="D42" s="14"/>
      <c r="E42" s="14"/>
      <c r="F42" s="20"/>
      <c r="G42" s="21"/>
      <c r="H42" s="22"/>
      <c r="I42" s="29"/>
      <c r="J42" s="30"/>
      <c r="K42" s="31"/>
      <c r="L42" s="31"/>
      <c r="M42" s="14"/>
      <c r="N42" s="14"/>
      <c r="O42" s="30"/>
      <c r="P42" s="8"/>
      <c r="Q42" s="14"/>
      <c r="R42" s="14"/>
      <c r="S42" s="14"/>
      <c r="T42" s="14"/>
      <c r="U42" s="14"/>
      <c r="V42" s="14"/>
      <c r="W42" s="14"/>
    </row>
    <row r="43" s="2" customFormat="1" ht="14.8" spans="1:23">
      <c r="A43" s="13"/>
      <c r="B43" s="14"/>
      <c r="C43" s="14"/>
      <c r="D43" s="14"/>
      <c r="E43" s="14"/>
      <c r="F43" s="20"/>
      <c r="G43" s="21"/>
      <c r="H43" s="22"/>
      <c r="I43" s="29"/>
      <c r="J43" s="30"/>
      <c r="K43" s="31"/>
      <c r="L43" s="31"/>
      <c r="M43" s="14"/>
      <c r="N43" s="14"/>
      <c r="O43" s="30"/>
      <c r="P43" s="8"/>
      <c r="Q43" s="14"/>
      <c r="R43" s="14"/>
      <c r="S43" s="14"/>
      <c r="T43" s="14"/>
      <c r="U43" s="14"/>
      <c r="V43" s="14"/>
      <c r="W43" s="14"/>
    </row>
    <row r="44" s="2" customFormat="1" ht="14.8" spans="1:23">
      <c r="A44" s="13"/>
      <c r="B44" s="14"/>
      <c r="C44" s="14"/>
      <c r="D44" s="14"/>
      <c r="E44" s="14"/>
      <c r="F44" s="20"/>
      <c r="G44" s="21"/>
      <c r="H44" s="22"/>
      <c r="I44" s="29"/>
      <c r="J44" s="30"/>
      <c r="K44" s="31"/>
      <c r="L44" s="31"/>
      <c r="M44" s="14"/>
      <c r="N44" s="14"/>
      <c r="O44" s="30"/>
      <c r="P44" s="8"/>
      <c r="Q44" s="14"/>
      <c r="R44" s="14"/>
      <c r="S44" s="14"/>
      <c r="T44" s="14"/>
      <c r="U44" s="14"/>
      <c r="V44" s="14"/>
      <c r="W44" s="14"/>
    </row>
    <row r="45" s="2" customFormat="1" ht="14.8" spans="1:23">
      <c r="A45" s="13"/>
      <c r="B45" s="14"/>
      <c r="C45" s="14"/>
      <c r="D45" s="14"/>
      <c r="E45" s="14"/>
      <c r="F45" s="20"/>
      <c r="G45" s="21"/>
      <c r="H45" s="22"/>
      <c r="I45" s="29"/>
      <c r="J45" s="30"/>
      <c r="K45" s="31"/>
      <c r="L45" s="31"/>
      <c r="M45" s="14"/>
      <c r="N45" s="14"/>
      <c r="O45" s="30"/>
      <c r="P45" s="8"/>
      <c r="Q45" s="14"/>
      <c r="R45" s="14"/>
      <c r="S45" s="14"/>
      <c r="T45" s="14"/>
      <c r="U45" s="14"/>
      <c r="V45" s="14"/>
      <c r="W45" s="14"/>
    </row>
    <row r="46" s="2" customFormat="1" ht="14.8" spans="1:23">
      <c r="A46" s="13"/>
      <c r="B46" s="14"/>
      <c r="C46" s="14"/>
      <c r="D46" s="14"/>
      <c r="E46" s="14"/>
      <c r="F46" s="20"/>
      <c r="G46" s="21"/>
      <c r="H46" s="22"/>
      <c r="I46" s="29"/>
      <c r="J46" s="30"/>
      <c r="K46" s="31"/>
      <c r="L46" s="31"/>
      <c r="M46" s="14"/>
      <c r="N46" s="14"/>
      <c r="O46" s="30"/>
      <c r="P46" s="8"/>
      <c r="Q46" s="14"/>
      <c r="R46" s="14"/>
      <c r="S46" s="14"/>
      <c r="T46" s="14"/>
      <c r="U46" s="14"/>
      <c r="V46" s="14"/>
      <c r="W46" s="14"/>
    </row>
    <row r="47" s="2" customFormat="1" ht="14.8" spans="1:23">
      <c r="A47" s="13"/>
      <c r="B47" s="14"/>
      <c r="C47" s="14"/>
      <c r="D47" s="14"/>
      <c r="E47" s="14"/>
      <c r="F47" s="20"/>
      <c r="G47" s="21"/>
      <c r="H47" s="22"/>
      <c r="I47" s="29"/>
      <c r="J47" s="30"/>
      <c r="K47" s="31"/>
      <c r="L47" s="31"/>
      <c r="M47" s="14"/>
      <c r="N47" s="14"/>
      <c r="O47" s="30"/>
      <c r="P47" s="8"/>
      <c r="Q47" s="14"/>
      <c r="R47" s="14"/>
      <c r="S47" s="14"/>
      <c r="T47" s="14"/>
      <c r="U47" s="14"/>
      <c r="V47" s="14"/>
      <c r="W47" s="14"/>
    </row>
    <row r="48" s="2" customFormat="1" ht="14.8" spans="1:23">
      <c r="A48" s="13"/>
      <c r="B48" s="14"/>
      <c r="C48" s="14"/>
      <c r="D48" s="14"/>
      <c r="E48" s="14"/>
      <c r="F48" s="20"/>
      <c r="G48" s="21"/>
      <c r="H48" s="22"/>
      <c r="I48" s="29"/>
      <c r="J48" s="30"/>
      <c r="K48" s="31"/>
      <c r="L48" s="31"/>
      <c r="M48" s="14"/>
      <c r="N48" s="14"/>
      <c r="O48" s="30"/>
      <c r="P48" s="8"/>
      <c r="Q48" s="14"/>
      <c r="R48" s="14"/>
      <c r="S48" s="14"/>
      <c r="T48" s="14"/>
      <c r="U48" s="14"/>
      <c r="V48" s="14"/>
      <c r="W48" s="14"/>
    </row>
    <row r="49" s="2" customFormat="1" ht="14.8" spans="1:23">
      <c r="A49" s="13"/>
      <c r="B49" s="14"/>
      <c r="C49" s="14"/>
      <c r="D49" s="14"/>
      <c r="E49" s="14"/>
      <c r="F49" s="20"/>
      <c r="G49" s="21"/>
      <c r="H49" s="22"/>
      <c r="I49" s="29"/>
      <c r="J49" s="30"/>
      <c r="K49" s="31"/>
      <c r="L49" s="31"/>
      <c r="M49" s="14"/>
      <c r="N49" s="14"/>
      <c r="O49" s="30"/>
      <c r="P49" s="8"/>
      <c r="Q49" s="14"/>
      <c r="R49" s="14"/>
      <c r="S49" s="14"/>
      <c r="T49" s="14"/>
      <c r="U49" s="14"/>
      <c r="V49" s="14"/>
      <c r="W49" s="14"/>
    </row>
    <row r="50" s="2" customFormat="1" ht="14.8" spans="1:23">
      <c r="A50" s="13"/>
      <c r="B50" s="14"/>
      <c r="C50" s="14"/>
      <c r="D50" s="14"/>
      <c r="E50" s="14"/>
      <c r="F50" s="20"/>
      <c r="G50" s="21"/>
      <c r="H50" s="22"/>
      <c r="I50" s="29"/>
      <c r="J50" s="30"/>
      <c r="K50" s="31"/>
      <c r="L50" s="31"/>
      <c r="M50" s="14"/>
      <c r="N50" s="14"/>
      <c r="O50" s="30"/>
      <c r="P50" s="8"/>
      <c r="Q50" s="14"/>
      <c r="R50" s="14"/>
      <c r="S50" s="14"/>
      <c r="T50" s="14"/>
      <c r="U50" s="14"/>
      <c r="V50" s="14"/>
      <c r="W50" s="14"/>
    </row>
    <row r="51" s="2" customFormat="1" ht="14.8" spans="1:23">
      <c r="A51" s="13"/>
      <c r="B51" s="14"/>
      <c r="C51" s="14"/>
      <c r="D51" s="14"/>
      <c r="E51" s="14"/>
      <c r="F51" s="20"/>
      <c r="G51" s="21"/>
      <c r="H51" s="22"/>
      <c r="I51" s="29"/>
      <c r="J51" s="30"/>
      <c r="K51" s="31"/>
      <c r="L51" s="31"/>
      <c r="M51" s="14"/>
      <c r="N51" s="14"/>
      <c r="O51" s="30"/>
      <c r="P51" s="8"/>
      <c r="Q51" s="14"/>
      <c r="R51" s="14"/>
      <c r="S51" s="14"/>
      <c r="T51" s="14"/>
      <c r="U51" s="14"/>
      <c r="V51" s="14"/>
      <c r="W51" s="14"/>
    </row>
    <row r="52" s="2" customFormat="1" ht="14.8" spans="1:23">
      <c r="A52" s="13"/>
      <c r="B52" s="14"/>
      <c r="C52" s="14"/>
      <c r="D52" s="14"/>
      <c r="E52" s="14"/>
      <c r="F52" s="20"/>
      <c r="G52" s="21"/>
      <c r="H52" s="22"/>
      <c r="I52" s="29"/>
      <c r="J52" s="30"/>
      <c r="K52" s="31"/>
      <c r="L52" s="31"/>
      <c r="M52" s="14"/>
      <c r="N52" s="14"/>
      <c r="O52" s="30"/>
      <c r="P52" s="8"/>
      <c r="Q52" s="14"/>
      <c r="R52" s="14"/>
      <c r="S52" s="14"/>
      <c r="T52" s="14"/>
      <c r="U52" s="14"/>
      <c r="V52" s="14"/>
      <c r="W52" s="14"/>
    </row>
    <row r="53" s="2" customFormat="1" ht="14.8" spans="1:23">
      <c r="A53" s="13"/>
      <c r="B53" s="14"/>
      <c r="C53" s="14"/>
      <c r="D53" s="14"/>
      <c r="E53" s="14"/>
      <c r="F53" s="20"/>
      <c r="G53" s="21"/>
      <c r="H53" s="22"/>
      <c r="I53" s="29"/>
      <c r="J53" s="30"/>
      <c r="K53" s="31"/>
      <c r="L53" s="31"/>
      <c r="M53" s="14"/>
      <c r="N53" s="14"/>
      <c r="O53" s="30"/>
      <c r="P53" s="8"/>
      <c r="Q53" s="14"/>
      <c r="R53" s="14"/>
      <c r="S53" s="14"/>
      <c r="T53" s="14"/>
      <c r="U53" s="14"/>
      <c r="V53" s="14"/>
      <c r="W53" s="14"/>
    </row>
    <row r="54" s="2" customFormat="1" ht="14.8" spans="1:23">
      <c r="A54" s="13"/>
      <c r="B54" s="14"/>
      <c r="C54" s="14"/>
      <c r="D54" s="14"/>
      <c r="E54" s="14"/>
      <c r="F54" s="20"/>
      <c r="G54" s="21"/>
      <c r="H54" s="22"/>
      <c r="I54" s="29"/>
      <c r="J54" s="30"/>
      <c r="K54" s="31"/>
      <c r="L54" s="31"/>
      <c r="M54" s="14"/>
      <c r="N54" s="14"/>
      <c r="O54" s="30"/>
      <c r="P54" s="8"/>
      <c r="Q54" s="14"/>
      <c r="R54" s="14"/>
      <c r="S54" s="14"/>
      <c r="T54" s="14"/>
      <c r="U54" s="14"/>
      <c r="V54" s="14"/>
      <c r="W54" s="14"/>
    </row>
    <row r="55" ht="14.8" spans="6:15">
      <c r="F55" s="23"/>
      <c r="G55" s="24"/>
      <c r="H55" s="25"/>
      <c r="I55" s="32"/>
      <c r="O55" s="6"/>
    </row>
    <row r="56" ht="14.8" spans="6:15">
      <c r="F56" s="23"/>
      <c r="G56" s="24"/>
      <c r="H56" s="25"/>
      <c r="I56" s="32"/>
      <c r="O56" s="6"/>
    </row>
    <row r="57" ht="14.8" spans="6:15">
      <c r="F57" s="23"/>
      <c r="G57" s="24"/>
      <c r="H57" s="25"/>
      <c r="I57" s="32"/>
      <c r="O57" s="6"/>
    </row>
    <row r="58" ht="14.8" spans="6:15">
      <c r="F58" s="23"/>
      <c r="G58" s="24"/>
      <c r="H58" s="25"/>
      <c r="I58" s="32"/>
      <c r="O58" s="6"/>
    </row>
    <row r="59" ht="14.8" spans="6:15">
      <c r="F59" s="23"/>
      <c r="G59" s="24"/>
      <c r="H59" s="25"/>
      <c r="I59" s="32"/>
      <c r="O59" s="6"/>
    </row>
    <row r="60" ht="14.8" spans="6:15">
      <c r="F60" s="23"/>
      <c r="G60" s="24"/>
      <c r="H60" s="25"/>
      <c r="I60" s="32"/>
      <c r="O60" s="6"/>
    </row>
    <row r="61" ht="14.8" spans="6:15">
      <c r="F61" s="23"/>
      <c r="G61" s="24"/>
      <c r="H61" s="25"/>
      <c r="I61" s="32"/>
      <c r="O61" s="6"/>
    </row>
    <row r="62" ht="14.8" spans="6:15">
      <c r="F62" s="23"/>
      <c r="G62" s="24"/>
      <c r="H62" s="25"/>
      <c r="I62" s="32"/>
      <c r="O62" s="6"/>
    </row>
    <row r="63" ht="14.8" spans="6:15">
      <c r="F63" s="23"/>
      <c r="G63" s="24"/>
      <c r="H63" s="25"/>
      <c r="I63" s="32"/>
      <c r="O63" s="6"/>
    </row>
    <row r="64" ht="14.8" spans="6:15">
      <c r="F64" s="23"/>
      <c r="G64" s="24"/>
      <c r="H64" s="25"/>
      <c r="I64" s="32"/>
      <c r="O64" s="6"/>
    </row>
    <row r="65" ht="14.8" spans="6:15">
      <c r="F65" s="23"/>
      <c r="G65" s="24"/>
      <c r="H65" s="25"/>
      <c r="I65" s="32"/>
      <c r="O65" s="6"/>
    </row>
    <row r="66" ht="14.8" spans="6:15">
      <c r="F66" s="23"/>
      <c r="G66" s="24"/>
      <c r="H66" s="25"/>
      <c r="I66" s="32"/>
      <c r="O66" s="6"/>
    </row>
    <row r="67" ht="14.8" spans="6:15">
      <c r="F67" s="23"/>
      <c r="H67" s="25"/>
      <c r="I67" s="32"/>
      <c r="O67" s="6"/>
    </row>
    <row r="68" ht="14.8" spans="6:15">
      <c r="F68" s="23"/>
      <c r="H68" s="25"/>
      <c r="I68" s="32"/>
      <c r="O68" s="6"/>
    </row>
    <row r="69" ht="14.8" spans="8:15">
      <c r="H69" s="25"/>
      <c r="I69" s="32"/>
      <c r="O69" s="6"/>
    </row>
    <row r="70" ht="14.8" spans="8:15">
      <c r="H70" s="25"/>
      <c r="I70" s="32"/>
      <c r="O70" s="6"/>
    </row>
    <row r="71" ht="14.8" spans="8:15">
      <c r="H71" s="25"/>
      <c r="I71" s="32"/>
      <c r="O71" s="6"/>
    </row>
    <row r="72" ht="14.8" spans="8:15">
      <c r="H72" s="25"/>
      <c r="I72" s="32"/>
      <c r="O72" s="6"/>
    </row>
    <row r="73" ht="14.8" spans="8:15">
      <c r="H73" s="25"/>
      <c r="I73" s="32"/>
      <c r="O73" s="6"/>
    </row>
    <row r="74" ht="14.8" spans="8:15">
      <c r="H74" s="25"/>
      <c r="I74" s="32"/>
      <c r="O74" s="6"/>
    </row>
    <row r="75" ht="14.8" spans="8:15">
      <c r="H75" s="25"/>
      <c r="I75" s="32"/>
      <c r="O75" s="6"/>
    </row>
    <row r="76" ht="14.8" spans="8:15">
      <c r="H76" s="25"/>
      <c r="I76" s="32"/>
      <c r="O76" s="6"/>
    </row>
    <row r="77" ht="14.8" spans="8:15">
      <c r="H77" s="25"/>
      <c r="I77" s="32"/>
      <c r="O77" s="6"/>
    </row>
    <row r="78" ht="14.8" spans="8:15">
      <c r="H78" s="25"/>
      <c r="I78" s="32"/>
      <c r="O78" s="6"/>
    </row>
    <row r="79" ht="14.8" spans="8:15">
      <c r="H79" s="25"/>
      <c r="I79" s="32"/>
      <c r="O79" s="6"/>
    </row>
    <row r="80" ht="14.8" spans="8:15">
      <c r="H80" s="25"/>
      <c r="O80" s="6"/>
    </row>
    <row r="81" ht="14.8" spans="8:8">
      <c r="H81" s="25"/>
    </row>
    <row r="82" ht="14.8" spans="8:8">
      <c r="H82" s="25"/>
    </row>
    <row r="83" ht="14.8" spans="8:8">
      <c r="H83" s="2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2026-01-15T04:53:00Z</dcterms:created>
  <dcterms:modified xsi:type="dcterms:W3CDTF">2026-01-26T15:55:09Z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