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<sst xmlns="http://schemas.openxmlformats.org/spreadsheetml/2006/main" count="155" uniqueCount="103">
  <si>
    <t>Datos del producto</t>
  </si>
  <si>
    <t>Precio de venta y movimientos</t>
  </si>
  <si>
    <t>Gastos</t>
  </si>
  <si>
    <t>Venta</t>
  </si>
  <si>
    <t>Por Cobrar</t>
  </si>
  <si>
    <t>Código</t>
  </si>
  <si>
    <t>Descripción</t>
  </si>
  <si>
    <t>Talla</t>
  </si>
  <si>
    <t>Precio Venta</t>
  </si>
  <si>
    <t>Entrada</t>
  </si>
  <si>
    <t>Stock</t>
  </si>
  <si>
    <t>Costo Compra Unit</t>
  </si>
  <si>
    <t>Costo Compra x Cant</t>
  </si>
  <si>
    <t>Envío</t>
  </si>
  <si>
    <t>Monto</t>
  </si>
  <si>
    <t>LTA1475</t>
  </si>
  <si>
    <t>Top de punto con tirantes cruzados en espalda crema ZARA</t>
  </si>
  <si>
    <t>Talla S</t>
  </si>
  <si>
    <t>LTA1476</t>
  </si>
  <si>
    <t>Top de punto con botones metálicos verde ZARA</t>
  </si>
  <si>
    <t>Talla XS</t>
  </si>
  <si>
    <t>LTA1477</t>
  </si>
  <si>
    <t>LTA1478</t>
  </si>
  <si>
    <t>Top de punto con botones metálicos amarillo ZARA</t>
  </si>
  <si>
    <t>LTA1479</t>
  </si>
  <si>
    <t>Top de punto con cinturón color crema ZARA</t>
  </si>
  <si>
    <t>Talla L</t>
  </si>
  <si>
    <t>LTA1480</t>
  </si>
  <si>
    <t>LTA1481</t>
  </si>
  <si>
    <t>Pantalón interlock flare rosa ZARA</t>
  </si>
  <si>
    <t>LTA1487</t>
  </si>
  <si>
    <t>Vestido camisero piqué negro ZARA</t>
  </si>
  <si>
    <t>LTA1491</t>
  </si>
  <si>
    <t>Vestido midi frunce cintura rosa ZARA</t>
  </si>
  <si>
    <t>LTA1492</t>
  </si>
  <si>
    <t>LTA1493</t>
  </si>
  <si>
    <t>Vestido escote cuadrado blanco roto ZARA</t>
  </si>
  <si>
    <t>LTA1497</t>
  </si>
  <si>
    <t>Vestido midi fluido amarillo ZARA</t>
  </si>
  <si>
    <t>Talla M</t>
  </si>
  <si>
    <t>LTA1498</t>
  </si>
  <si>
    <t>Vestido midi con cinturón marrón ZARA</t>
  </si>
  <si>
    <t>LTA1499</t>
  </si>
  <si>
    <t>Vestido midi con cinturón crema ZARA</t>
  </si>
  <si>
    <t>LTA1500</t>
  </si>
  <si>
    <t>Vestido midi de corte asimétrico crema ZARA</t>
  </si>
  <si>
    <t>LTA1501</t>
  </si>
  <si>
    <t>LTA1502</t>
  </si>
  <si>
    <t>LTA1503</t>
  </si>
  <si>
    <t>Vestido midi de corte asimétrico negro ZARA</t>
  </si>
  <si>
    <t>LTA1504</t>
  </si>
  <si>
    <t>Vestido escote cuadrado negro ZARA</t>
  </si>
  <si>
    <t>LTA1505</t>
  </si>
  <si>
    <t>Vestido corto asimétrico halter negro ZARA</t>
  </si>
  <si>
    <t>Talla M merma</t>
  </si>
  <si>
    <t>LTA1506</t>
  </si>
  <si>
    <t>Vestido midi fluido drapeado negro ZARA</t>
  </si>
  <si>
    <t>LTA1507</t>
  </si>
  <si>
    <t>Vestido crepe escote corazón azul marino ZARA</t>
  </si>
  <si>
    <t>LTA1508</t>
  </si>
  <si>
    <t>Vestido largo crepe borgoña ZARA</t>
  </si>
  <si>
    <t>LTA1509</t>
  </si>
  <si>
    <t>Sandalias de tacón efecto acharolado verde caqui ZARA</t>
  </si>
  <si>
    <t>Talla 38</t>
  </si>
  <si>
    <t>LTA1510</t>
  </si>
  <si>
    <t>Talla 35</t>
  </si>
  <si>
    <t>LTA1511</t>
  </si>
  <si>
    <t>Talla 37</t>
  </si>
  <si>
    <t>LTA1512</t>
  </si>
  <si>
    <t>Talla 39</t>
  </si>
  <si>
    <t>LTA1513</t>
  </si>
  <si>
    <t>Talla 36</t>
  </si>
  <si>
    <t>LTA1514</t>
  </si>
  <si>
    <t>Sandalias acharoladas de tacón rosa ZARA</t>
  </si>
  <si>
    <t>LTA1515</t>
  </si>
  <si>
    <t>LTA1516</t>
  </si>
  <si>
    <t>Sandalias de tacón efecto metalizado ZARA</t>
  </si>
  <si>
    <t>LTA1517</t>
  </si>
  <si>
    <t>LTA1482</t>
  </si>
  <si>
    <t>Vestido de punto escote drapeado negro MANGO</t>
  </si>
  <si>
    <t>LTA1483</t>
  </si>
  <si>
    <t>LTA1484</t>
  </si>
  <si>
    <t>Vestido detalle drapeado fucsia MANGO</t>
  </si>
  <si>
    <t>LTA1485</t>
  </si>
  <si>
    <t>LTA1486</t>
  </si>
  <si>
    <t>LTA1488</t>
  </si>
  <si>
    <t>Vestido largo estampado naranja y rosa MANGO</t>
  </si>
  <si>
    <t>LTA1489</t>
  </si>
  <si>
    <t>Mono satinado con volantes morado MANGO</t>
  </si>
  <si>
    <t>LTA1490</t>
  </si>
  <si>
    <t>LTA1494</t>
  </si>
  <si>
    <t>Vestido asimétrico con costuras decorativas color melocotón MANGO</t>
  </si>
  <si>
    <t>LTA1495</t>
  </si>
  <si>
    <t>LTA1496</t>
  </si>
  <si>
    <t>Total productos comprados</t>
  </si>
  <si>
    <t>Total de productos vendidos</t>
  </si>
  <si>
    <t>Total $ vendidos</t>
  </si>
  <si>
    <t>Total Costo compra</t>
  </si>
  <si>
    <t>Costo de envío 230 euros en USD</t>
  </si>
  <si>
    <t>Gasto Pago Salario de venta 2%</t>
  </si>
  <si>
    <t>Inversión total</t>
  </si>
  <si>
    <t>Productos Por Vender</t>
  </si>
  <si>
    <t>Dinero por cobrar de productos restantes</t>
  </si>
</sst>
</file>

<file path=xl/styles.xml><?xml version="1.0" encoding="utf-8"?>
<styleSheet xmlns="http://schemas.openxmlformats.org/spreadsheetml/2006/main">
  <numFmts count="6">
    <numFmt numFmtId="176" formatCode="0_);[Red]\(0\)"/>
    <numFmt numFmtId="177" formatCode="_ [$$-540A]* #,##0.00_ ;_ [$$-540A]* \-#,##0.00_ ;_ [$$-540A]* &quot;-&quot;??_ ;_ @_ 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>
      <left/>
      <right/>
      <top style="thin">
        <color theme="0" tint="-0.35"/>
      </top>
      <bottom style="thin">
        <color theme="0" tint="-0.3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5"/>
      </right>
      <top style="thin">
        <color theme="0" tint="-0.35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9" fillId="6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22" fillId="31" borderId="1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8" borderId="21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2" fillId="2" borderId="0" xfId="0" applyFont="1" applyFill="1" applyAlignment="1"/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center"/>
    </xf>
    <xf numFmtId="177" fontId="2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vertical="center"/>
    </xf>
    <xf numFmtId="177" fontId="3" fillId="2" borderId="3" xfId="0" applyNumberFormat="1" applyFont="1" applyFill="1" applyBorder="1" applyAlignment="1">
      <alignment vertical="center"/>
    </xf>
    <xf numFmtId="0" fontId="0" fillId="0" borderId="4" xfId="0" applyBorder="1">
      <alignment vertical="center"/>
    </xf>
    <xf numFmtId="0" fontId="0" fillId="3" borderId="3" xfId="0" applyFill="1" applyBorder="1" applyAlignment="1">
      <alignment horizontal="right" vertical="center"/>
    </xf>
    <xf numFmtId="176" fontId="0" fillId="3" borderId="4" xfId="0" applyNumberFormat="1" applyFill="1" applyBorder="1" applyAlignment="1">
      <alignment horizontal="left" vertical="center"/>
    </xf>
    <xf numFmtId="176" fontId="0" fillId="3" borderId="5" xfId="0" applyNumberFormat="1" applyFill="1" applyBorder="1" applyAlignment="1">
      <alignment horizontal="left" vertical="center"/>
    </xf>
    <xf numFmtId="0" fontId="0" fillId="0" borderId="6" xfId="0" applyBorder="1">
      <alignment vertical="center"/>
    </xf>
    <xf numFmtId="0" fontId="0" fillId="3" borderId="4" xfId="0" applyNumberFormat="1" applyFill="1" applyBorder="1" applyAlignment="1">
      <alignment horizontal="left" vertical="center"/>
    </xf>
    <xf numFmtId="0" fontId="0" fillId="3" borderId="5" xfId="0" applyNumberFormat="1" applyFill="1" applyBorder="1" applyAlignment="1">
      <alignment horizontal="left" vertical="center"/>
    </xf>
    <xf numFmtId="0" fontId="0" fillId="0" borderId="7" xfId="0" applyBorder="1">
      <alignment vertical="center"/>
    </xf>
    <xf numFmtId="177" fontId="0" fillId="3" borderId="4" xfId="0" applyNumberFormat="1" applyFill="1" applyBorder="1" applyAlignment="1">
      <alignment vertical="center"/>
    </xf>
    <xf numFmtId="177" fontId="0" fillId="3" borderId="5" xfId="0" applyNumberFormat="1" applyFill="1" applyBorder="1" applyAlignment="1">
      <alignment vertical="center"/>
    </xf>
    <xf numFmtId="0" fontId="0" fillId="0" borderId="7" xfId="0" applyFont="1" applyBorder="1">
      <alignment vertical="center"/>
    </xf>
    <xf numFmtId="0" fontId="0" fillId="3" borderId="3" xfId="0" applyFont="1" applyFill="1" applyBorder="1" applyAlignment="1">
      <alignment horizontal="right" vertical="center"/>
    </xf>
    <xf numFmtId="177" fontId="0" fillId="3" borderId="4" xfId="0" applyNumberFormat="1" applyFont="1" applyFill="1" applyBorder="1" applyAlignment="1">
      <alignment vertical="center"/>
    </xf>
    <xf numFmtId="177" fontId="0" fillId="3" borderId="5" xfId="0" applyNumberFormat="1" applyFont="1" applyFill="1" applyBorder="1" applyAlignment="1">
      <alignment vertical="center"/>
    </xf>
    <xf numFmtId="177" fontId="0" fillId="3" borderId="4" xfId="0" applyNumberFormat="1" applyFont="1" applyFill="1" applyBorder="1" applyAlignment="1">
      <alignment horizontal="left" vertical="center"/>
    </xf>
    <xf numFmtId="177" fontId="0" fillId="3" borderId="5" xfId="0" applyNumberFormat="1" applyFont="1" applyFill="1" applyBorder="1" applyAlignment="1">
      <alignment horizontal="left" vertical="center"/>
    </xf>
    <xf numFmtId="177" fontId="0" fillId="3" borderId="4" xfId="0" applyNumberFormat="1" applyFont="1" applyFill="1" applyBorder="1" applyAlignment="1">
      <alignment vertical="center"/>
    </xf>
    <xf numFmtId="177" fontId="0" fillId="3" borderId="5" xfId="0" applyNumberFormat="1" applyFont="1" applyFill="1" applyBorder="1" applyAlignment="1">
      <alignment vertical="center"/>
    </xf>
    <xf numFmtId="0" fontId="0" fillId="0" borderId="3" xfId="0" applyFont="1" applyBorder="1" applyAlignment="1">
      <alignment horizontal="right" vertical="center"/>
    </xf>
    <xf numFmtId="176" fontId="0" fillId="0" borderId="3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vertical="center"/>
    </xf>
    <xf numFmtId="0" fontId="0" fillId="0" borderId="3" xfId="0" applyBorder="1" applyAlignment="1">
      <alignment horizontal="right" vertical="center"/>
    </xf>
    <xf numFmtId="177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0" fillId="3" borderId="9" xfId="0" applyNumberForma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2" borderId="3" xfId="0" applyFont="1" applyFill="1" applyBorder="1" applyAlignment="1"/>
    <xf numFmtId="0" fontId="3" fillId="2" borderId="3" xfId="0" applyFont="1" applyFill="1" applyBorder="1" applyAlignment="1"/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0" borderId="11" xfId="0" applyFont="1" applyBorder="1">
      <alignment vertical="center"/>
    </xf>
    <xf numFmtId="0" fontId="2" fillId="2" borderId="13" xfId="0" applyFont="1" applyFill="1" applyBorder="1" applyAlignment="1"/>
    <xf numFmtId="0" fontId="3" fillId="2" borderId="13" xfId="0" applyFont="1" applyFill="1" applyBorder="1" applyAlignment="1"/>
    <xf numFmtId="0" fontId="0" fillId="2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64"/>
  <sheetViews>
    <sheetView tabSelected="1" zoomScale="85" zoomScaleNormal="85" topLeftCell="B1" workbookViewId="0">
      <selection activeCell="F57" sqref="F57"/>
    </sheetView>
  </sheetViews>
  <sheetFormatPr defaultColWidth="9" defaultRowHeight="25" customHeight="1"/>
  <cols>
    <col min="1" max="1" width="14.6015625" style="7" customWidth="1"/>
    <col min="2" max="2" width="62.8125" style="8" customWidth="1"/>
    <col min="3" max="3" width="16.0859375" style="8" customWidth="1"/>
    <col min="4" max="4" width="19.4453125" style="8" customWidth="1"/>
    <col min="5" max="5" width="10.71875" style="8" customWidth="1"/>
    <col min="6" max="6" width="9.375" style="8" customWidth="1"/>
    <col min="7" max="7" width="10.9375" style="8" customWidth="1"/>
    <col min="8" max="8" width="18.53125" style="8" customWidth="1"/>
    <col min="9" max="9" width="21.8125" style="8" customWidth="1"/>
    <col min="10" max="10" width="17.3125" style="8" customWidth="1"/>
    <col min="11" max="11" width="13.9296875" style="8" customWidth="1"/>
    <col min="12" max="12" width="13.9375" customWidth="1"/>
  </cols>
  <sheetData>
    <row r="1" s="1" customFormat="1" customHeight="1" spans="1:12">
      <c r="A1" s="9" t="s">
        <v>0</v>
      </c>
      <c r="B1" s="9"/>
      <c r="C1" s="9"/>
      <c r="D1" s="10" t="s">
        <v>1</v>
      </c>
      <c r="E1" s="9"/>
      <c r="F1" s="9"/>
      <c r="G1" s="9"/>
      <c r="H1" s="43" t="s">
        <v>2</v>
      </c>
      <c r="I1" s="54"/>
      <c r="J1" s="55"/>
      <c r="K1" s="9" t="s">
        <v>3</v>
      </c>
      <c r="L1" s="9" t="s">
        <v>4</v>
      </c>
    </row>
    <row r="2" s="2" customFormat="1" customHeight="1" spans="1:6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3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3</v>
      </c>
      <c r="L2" s="11" t="s">
        <v>14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</row>
    <row r="3" s="3" customFormat="1" customHeight="1" spans="1:16375">
      <c r="A3" s="12" t="s">
        <v>15</v>
      </c>
      <c r="B3" s="13" t="s">
        <v>16</v>
      </c>
      <c r="C3" s="13" t="s">
        <v>17</v>
      </c>
      <c r="D3" s="14">
        <v>35</v>
      </c>
      <c r="E3" s="44">
        <v>1</v>
      </c>
      <c r="F3" s="44">
        <v>1</v>
      </c>
      <c r="G3" s="44">
        <f>E3-F3</f>
        <v>0</v>
      </c>
      <c r="H3" s="14">
        <v>11.14</v>
      </c>
      <c r="I3" s="14">
        <f>H3*E3</f>
        <v>11.14</v>
      </c>
      <c r="J3" s="14">
        <f>230*1.1</f>
        <v>253</v>
      </c>
      <c r="K3" s="56">
        <f>F3*D3</f>
        <v>35</v>
      </c>
      <c r="L3" s="57">
        <f>G3*D3</f>
        <v>0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9"/>
      <c r="XEU3" s="71"/>
    </row>
    <row r="4" s="3" customFormat="1" customHeight="1" spans="1:16375">
      <c r="A4" s="12" t="s">
        <v>18</v>
      </c>
      <c r="B4" s="13" t="s">
        <v>19</v>
      </c>
      <c r="C4" s="13" t="s">
        <v>20</v>
      </c>
      <c r="D4" s="14">
        <v>40</v>
      </c>
      <c r="E4" s="44">
        <v>1</v>
      </c>
      <c r="F4" s="44">
        <v>1</v>
      </c>
      <c r="G4" s="44">
        <f t="shared" ref="G4:G45" si="0">E4-F4</f>
        <v>0</v>
      </c>
      <c r="H4" s="14">
        <v>14.48</v>
      </c>
      <c r="I4" s="14">
        <f t="shared" ref="I4:I45" si="1">H4*E4</f>
        <v>14.48</v>
      </c>
      <c r="J4" s="14"/>
      <c r="K4" s="56">
        <f t="shared" ref="K4:K45" si="2">F4*D4</f>
        <v>40</v>
      </c>
      <c r="L4" s="57">
        <f t="shared" ref="L4:L45" si="3">G4*D4</f>
        <v>0</v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9"/>
      <c r="XEU4" s="71"/>
    </row>
    <row r="5" s="3" customFormat="1" customHeight="1" spans="1:16375">
      <c r="A5" s="12" t="s">
        <v>21</v>
      </c>
      <c r="B5" s="13" t="s">
        <v>19</v>
      </c>
      <c r="C5" s="13" t="s">
        <v>17</v>
      </c>
      <c r="D5" s="14">
        <v>40</v>
      </c>
      <c r="E5" s="44">
        <v>1</v>
      </c>
      <c r="F5" s="44">
        <v>1</v>
      </c>
      <c r="G5" s="44">
        <f t="shared" si="0"/>
        <v>0</v>
      </c>
      <c r="H5" s="14">
        <v>14.48</v>
      </c>
      <c r="I5" s="14">
        <f t="shared" si="1"/>
        <v>14.48</v>
      </c>
      <c r="J5" s="14"/>
      <c r="K5" s="56">
        <f t="shared" si="2"/>
        <v>40</v>
      </c>
      <c r="L5" s="57">
        <f t="shared" si="3"/>
        <v>0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9"/>
      <c r="XEU5" s="71"/>
    </row>
    <row r="6" s="3" customFormat="1" customHeight="1" spans="1:16375">
      <c r="A6" s="12" t="s">
        <v>22</v>
      </c>
      <c r="B6" s="13" t="s">
        <v>23</v>
      </c>
      <c r="C6" s="13" t="s">
        <v>20</v>
      </c>
      <c r="D6" s="14">
        <v>40</v>
      </c>
      <c r="E6" s="44">
        <v>1</v>
      </c>
      <c r="F6" s="44">
        <v>1</v>
      </c>
      <c r="G6" s="44">
        <f t="shared" si="0"/>
        <v>0</v>
      </c>
      <c r="H6" s="14">
        <v>14.48</v>
      </c>
      <c r="I6" s="14">
        <f t="shared" si="1"/>
        <v>14.48</v>
      </c>
      <c r="J6" s="14"/>
      <c r="K6" s="56">
        <f t="shared" si="2"/>
        <v>40</v>
      </c>
      <c r="L6" s="57">
        <f t="shared" si="3"/>
        <v>0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9"/>
      <c r="XEU6" s="71"/>
    </row>
    <row r="7" s="3" customFormat="1" customHeight="1" spans="1:16375">
      <c r="A7" s="12" t="s">
        <v>24</v>
      </c>
      <c r="B7" s="13" t="s">
        <v>25</v>
      </c>
      <c r="C7" s="13" t="s">
        <v>26</v>
      </c>
      <c r="D7" s="14">
        <v>40</v>
      </c>
      <c r="E7" s="44">
        <v>1</v>
      </c>
      <c r="F7" s="44">
        <v>1</v>
      </c>
      <c r="G7" s="44">
        <f t="shared" si="0"/>
        <v>0</v>
      </c>
      <c r="H7" s="14">
        <v>17.82</v>
      </c>
      <c r="I7" s="14">
        <f t="shared" si="1"/>
        <v>17.82</v>
      </c>
      <c r="J7" s="14"/>
      <c r="K7" s="56">
        <f t="shared" si="2"/>
        <v>40</v>
      </c>
      <c r="L7" s="57">
        <f t="shared" si="3"/>
        <v>0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9"/>
      <c r="XEU7" s="71"/>
    </row>
    <row r="8" s="3" customFormat="1" customHeight="1" spans="1:16375">
      <c r="A8" s="12" t="s">
        <v>27</v>
      </c>
      <c r="B8" s="13" t="s">
        <v>25</v>
      </c>
      <c r="C8" s="13" t="s">
        <v>17</v>
      </c>
      <c r="D8" s="14">
        <v>40</v>
      </c>
      <c r="E8" s="44">
        <v>1</v>
      </c>
      <c r="F8" s="44">
        <v>0</v>
      </c>
      <c r="G8" s="44">
        <f t="shared" si="0"/>
        <v>1</v>
      </c>
      <c r="H8" s="14">
        <v>17.82</v>
      </c>
      <c r="I8" s="14">
        <f t="shared" si="1"/>
        <v>17.82</v>
      </c>
      <c r="J8" s="14"/>
      <c r="K8" s="56">
        <f t="shared" si="2"/>
        <v>0</v>
      </c>
      <c r="L8" s="57">
        <f t="shared" si="3"/>
        <v>40</v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9"/>
      <c r="XEU8" s="71"/>
    </row>
    <row r="9" s="3" customFormat="1" customHeight="1" spans="1:16375">
      <c r="A9" s="12" t="s">
        <v>28</v>
      </c>
      <c r="B9" s="13" t="s">
        <v>29</v>
      </c>
      <c r="C9" s="13" t="s">
        <v>17</v>
      </c>
      <c r="D9" s="14">
        <v>40</v>
      </c>
      <c r="E9" s="44">
        <v>1</v>
      </c>
      <c r="F9" s="44">
        <v>0</v>
      </c>
      <c r="G9" s="44">
        <f t="shared" si="0"/>
        <v>1</v>
      </c>
      <c r="H9" s="14">
        <v>11.13</v>
      </c>
      <c r="I9" s="14">
        <f t="shared" si="1"/>
        <v>11.13</v>
      </c>
      <c r="J9" s="14"/>
      <c r="K9" s="56">
        <f t="shared" si="2"/>
        <v>0</v>
      </c>
      <c r="L9" s="57">
        <f t="shared" si="3"/>
        <v>40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9"/>
      <c r="XEU9" s="71"/>
    </row>
    <row r="10" s="3" customFormat="1" customHeight="1" spans="1:16375">
      <c r="A10" s="12" t="s">
        <v>30</v>
      </c>
      <c r="B10" s="13" t="s">
        <v>31</v>
      </c>
      <c r="C10" s="13" t="s">
        <v>17</v>
      </c>
      <c r="D10" s="14">
        <v>50</v>
      </c>
      <c r="E10" s="44">
        <v>2</v>
      </c>
      <c r="F10" s="44">
        <v>1</v>
      </c>
      <c r="G10" s="44">
        <f t="shared" si="0"/>
        <v>1</v>
      </c>
      <c r="H10" s="14">
        <v>20.05</v>
      </c>
      <c r="I10" s="14">
        <f t="shared" si="1"/>
        <v>40.1</v>
      </c>
      <c r="J10" s="14"/>
      <c r="K10" s="56">
        <f t="shared" si="2"/>
        <v>50</v>
      </c>
      <c r="L10" s="57">
        <f t="shared" si="3"/>
        <v>50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9"/>
      <c r="XEU10" s="71"/>
    </row>
    <row r="11" s="3" customFormat="1" customHeight="1" spans="1:16375">
      <c r="A11" s="12" t="s">
        <v>32</v>
      </c>
      <c r="B11" s="13" t="s">
        <v>33</v>
      </c>
      <c r="C11" s="13" t="s">
        <v>17</v>
      </c>
      <c r="D11" s="14">
        <v>50</v>
      </c>
      <c r="E11" s="44">
        <v>1</v>
      </c>
      <c r="F11" s="44">
        <v>0</v>
      </c>
      <c r="G11" s="44">
        <f t="shared" si="0"/>
        <v>1</v>
      </c>
      <c r="H11" s="14">
        <v>25.65</v>
      </c>
      <c r="I11" s="14">
        <f t="shared" si="1"/>
        <v>25.65</v>
      </c>
      <c r="J11" s="14"/>
      <c r="K11" s="56">
        <f t="shared" si="2"/>
        <v>0</v>
      </c>
      <c r="L11" s="57">
        <f t="shared" si="3"/>
        <v>50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9"/>
      <c r="XEU11" s="71"/>
    </row>
    <row r="12" s="3" customFormat="1" customHeight="1" spans="1:16375">
      <c r="A12" s="12" t="s">
        <v>34</v>
      </c>
      <c r="B12" s="13" t="s">
        <v>33</v>
      </c>
      <c r="C12" s="13" t="s">
        <v>20</v>
      </c>
      <c r="D12" s="14">
        <v>50</v>
      </c>
      <c r="E12" s="44">
        <v>1</v>
      </c>
      <c r="F12" s="44">
        <v>0</v>
      </c>
      <c r="G12" s="44">
        <f t="shared" si="0"/>
        <v>1</v>
      </c>
      <c r="H12" s="14">
        <v>25.65</v>
      </c>
      <c r="I12" s="14">
        <f t="shared" si="1"/>
        <v>25.65</v>
      </c>
      <c r="J12" s="14"/>
      <c r="K12" s="56">
        <f t="shared" si="2"/>
        <v>0</v>
      </c>
      <c r="L12" s="57">
        <f t="shared" si="3"/>
        <v>50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9"/>
      <c r="XEU12" s="71"/>
    </row>
    <row r="13" s="3" customFormat="1" customHeight="1" spans="1:16375">
      <c r="A13" s="12" t="s">
        <v>35</v>
      </c>
      <c r="B13" s="13" t="s">
        <v>36</v>
      </c>
      <c r="C13" s="13" t="s">
        <v>17</v>
      </c>
      <c r="D13" s="14">
        <v>70</v>
      </c>
      <c r="E13" s="44">
        <v>1</v>
      </c>
      <c r="F13" s="44">
        <v>0</v>
      </c>
      <c r="G13" s="44">
        <f t="shared" si="0"/>
        <v>1</v>
      </c>
      <c r="H13" s="14">
        <v>28.93</v>
      </c>
      <c r="I13" s="14">
        <f t="shared" si="1"/>
        <v>28.93</v>
      </c>
      <c r="J13" s="14"/>
      <c r="K13" s="56">
        <f t="shared" si="2"/>
        <v>0</v>
      </c>
      <c r="L13" s="57">
        <f t="shared" si="3"/>
        <v>70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9"/>
      <c r="XEU13" s="71"/>
    </row>
    <row r="14" s="3" customFormat="1" customHeight="1" spans="1:16375">
      <c r="A14" s="12" t="s">
        <v>37</v>
      </c>
      <c r="B14" s="13" t="s">
        <v>38</v>
      </c>
      <c r="C14" s="13" t="s">
        <v>39</v>
      </c>
      <c r="D14" s="14">
        <v>50</v>
      </c>
      <c r="E14" s="44">
        <v>1</v>
      </c>
      <c r="F14" s="44">
        <v>1</v>
      </c>
      <c r="G14" s="44">
        <f t="shared" si="0"/>
        <v>0</v>
      </c>
      <c r="H14" s="14">
        <v>22.28</v>
      </c>
      <c r="I14" s="14">
        <f t="shared" si="1"/>
        <v>22.28</v>
      </c>
      <c r="J14" s="14"/>
      <c r="K14" s="56">
        <f t="shared" si="2"/>
        <v>50</v>
      </c>
      <c r="L14" s="57">
        <f t="shared" si="3"/>
        <v>0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9"/>
      <c r="XEU14" s="71"/>
    </row>
    <row r="15" s="3" customFormat="1" customHeight="1" spans="1:16375">
      <c r="A15" s="12" t="s">
        <v>40</v>
      </c>
      <c r="B15" s="13" t="s">
        <v>41</v>
      </c>
      <c r="C15" s="13" t="s">
        <v>17</v>
      </c>
      <c r="D15" s="14">
        <v>60</v>
      </c>
      <c r="E15" s="44">
        <v>2</v>
      </c>
      <c r="F15" s="44">
        <v>1</v>
      </c>
      <c r="G15" s="44">
        <f t="shared" si="0"/>
        <v>1</v>
      </c>
      <c r="H15" s="14">
        <v>25.63</v>
      </c>
      <c r="I15" s="14">
        <f t="shared" si="1"/>
        <v>51.26</v>
      </c>
      <c r="J15" s="14"/>
      <c r="K15" s="56">
        <f t="shared" si="2"/>
        <v>60</v>
      </c>
      <c r="L15" s="57">
        <f t="shared" si="3"/>
        <v>60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9"/>
      <c r="XEU15" s="71"/>
    </row>
    <row r="16" s="3" customFormat="1" customHeight="1" spans="1:16375">
      <c r="A16" s="12" t="s">
        <v>42</v>
      </c>
      <c r="B16" s="13" t="s">
        <v>43</v>
      </c>
      <c r="C16" s="13" t="s">
        <v>39</v>
      </c>
      <c r="D16" s="14">
        <v>60</v>
      </c>
      <c r="E16" s="44">
        <v>1</v>
      </c>
      <c r="F16" s="44">
        <v>0</v>
      </c>
      <c r="G16" s="44">
        <f t="shared" si="0"/>
        <v>1</v>
      </c>
      <c r="H16" s="14">
        <v>25.63</v>
      </c>
      <c r="I16" s="14">
        <f t="shared" si="1"/>
        <v>25.63</v>
      </c>
      <c r="J16" s="14"/>
      <c r="K16" s="56">
        <f t="shared" si="2"/>
        <v>0</v>
      </c>
      <c r="L16" s="57">
        <f t="shared" si="3"/>
        <v>60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9"/>
      <c r="XEU16" s="71"/>
    </row>
    <row r="17" s="3" customFormat="1" customHeight="1" spans="1:16375">
      <c r="A17" s="12" t="s">
        <v>44</v>
      </c>
      <c r="B17" s="13" t="s">
        <v>45</v>
      </c>
      <c r="C17" s="13" t="s">
        <v>26</v>
      </c>
      <c r="D17" s="14">
        <v>60</v>
      </c>
      <c r="E17" s="44">
        <v>2</v>
      </c>
      <c r="F17" s="44">
        <v>2</v>
      </c>
      <c r="G17" s="44">
        <f t="shared" si="0"/>
        <v>0</v>
      </c>
      <c r="H17" s="14">
        <v>25.58</v>
      </c>
      <c r="I17" s="14">
        <f t="shared" si="1"/>
        <v>51.16</v>
      </c>
      <c r="J17" s="14"/>
      <c r="K17" s="56">
        <f t="shared" si="2"/>
        <v>120</v>
      </c>
      <c r="L17" s="57">
        <f t="shared" si="3"/>
        <v>0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9"/>
      <c r="XEU17" s="71"/>
    </row>
    <row r="18" s="3" customFormat="1" customHeight="1" spans="1:16375">
      <c r="A18" s="12" t="s">
        <v>46</v>
      </c>
      <c r="B18" s="13" t="s">
        <v>45</v>
      </c>
      <c r="C18" s="13" t="s">
        <v>39</v>
      </c>
      <c r="D18" s="14">
        <v>60</v>
      </c>
      <c r="E18" s="44">
        <v>2</v>
      </c>
      <c r="F18" s="44">
        <v>1</v>
      </c>
      <c r="G18" s="44">
        <f t="shared" si="0"/>
        <v>1</v>
      </c>
      <c r="H18" s="14">
        <v>25.58</v>
      </c>
      <c r="I18" s="14">
        <f t="shared" si="1"/>
        <v>51.16</v>
      </c>
      <c r="J18" s="14"/>
      <c r="K18" s="56">
        <f t="shared" si="2"/>
        <v>60</v>
      </c>
      <c r="L18" s="57">
        <f t="shared" si="3"/>
        <v>60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9"/>
      <c r="XEU18" s="71"/>
    </row>
    <row r="19" s="3" customFormat="1" customHeight="1" spans="1:16375">
      <c r="A19" s="12" t="s">
        <v>47</v>
      </c>
      <c r="B19" s="13" t="s">
        <v>45</v>
      </c>
      <c r="C19" s="13" t="s">
        <v>17</v>
      </c>
      <c r="D19" s="14">
        <v>60</v>
      </c>
      <c r="E19" s="44">
        <v>2</v>
      </c>
      <c r="F19" s="44">
        <v>2</v>
      </c>
      <c r="G19" s="44">
        <f t="shared" si="0"/>
        <v>0</v>
      </c>
      <c r="H19" s="14">
        <v>25.58</v>
      </c>
      <c r="I19" s="14">
        <f t="shared" si="1"/>
        <v>51.16</v>
      </c>
      <c r="J19" s="14"/>
      <c r="K19" s="56">
        <f t="shared" si="2"/>
        <v>120</v>
      </c>
      <c r="L19" s="57">
        <f t="shared" si="3"/>
        <v>0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9"/>
      <c r="XEU19" s="71"/>
    </row>
    <row r="20" s="3" customFormat="1" customHeight="1" spans="1:16375">
      <c r="A20" s="12" t="s">
        <v>48</v>
      </c>
      <c r="B20" s="13" t="s">
        <v>49</v>
      </c>
      <c r="C20" s="13" t="s">
        <v>17</v>
      </c>
      <c r="D20" s="14">
        <v>60</v>
      </c>
      <c r="E20" s="44">
        <v>1</v>
      </c>
      <c r="F20" s="44">
        <v>1</v>
      </c>
      <c r="G20" s="44">
        <f t="shared" si="0"/>
        <v>0</v>
      </c>
      <c r="H20" s="14">
        <v>25.58</v>
      </c>
      <c r="I20" s="14">
        <f t="shared" si="1"/>
        <v>25.58</v>
      </c>
      <c r="J20" s="14"/>
      <c r="K20" s="56">
        <f t="shared" si="2"/>
        <v>60</v>
      </c>
      <c r="L20" s="57">
        <f t="shared" si="3"/>
        <v>0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9"/>
      <c r="XEU20" s="71"/>
    </row>
    <row r="21" s="3" customFormat="1" customHeight="1" spans="1:16375">
      <c r="A21" s="12" t="s">
        <v>50</v>
      </c>
      <c r="B21" s="13" t="s">
        <v>51</v>
      </c>
      <c r="C21" s="13" t="s">
        <v>39</v>
      </c>
      <c r="D21" s="14">
        <v>50</v>
      </c>
      <c r="E21" s="44">
        <v>1</v>
      </c>
      <c r="F21" s="44">
        <v>1</v>
      </c>
      <c r="G21" s="44">
        <f t="shared" si="0"/>
        <v>0</v>
      </c>
      <c r="H21" s="14">
        <v>17.82</v>
      </c>
      <c r="I21" s="14">
        <f t="shared" si="1"/>
        <v>17.82</v>
      </c>
      <c r="J21" s="14"/>
      <c r="K21" s="56">
        <f t="shared" si="2"/>
        <v>50</v>
      </c>
      <c r="L21" s="57">
        <f t="shared" si="3"/>
        <v>0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9"/>
      <c r="XEU21" s="71"/>
    </row>
    <row r="22" s="4" customFormat="1" customHeight="1" spans="1:16375">
      <c r="A22" s="15" t="s">
        <v>52</v>
      </c>
      <c r="B22" s="16" t="s">
        <v>53</v>
      </c>
      <c r="C22" s="16" t="s">
        <v>54</v>
      </c>
      <c r="D22" s="17">
        <v>0</v>
      </c>
      <c r="E22" s="45">
        <v>1</v>
      </c>
      <c r="F22" s="45">
        <v>0</v>
      </c>
      <c r="G22" s="45">
        <f t="shared" si="0"/>
        <v>1</v>
      </c>
      <c r="H22" s="17">
        <v>17.82</v>
      </c>
      <c r="I22" s="14">
        <f t="shared" si="1"/>
        <v>17.82</v>
      </c>
      <c r="J22" s="17"/>
      <c r="K22" s="56">
        <f t="shared" si="2"/>
        <v>0</v>
      </c>
      <c r="L22" s="57">
        <v>0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70"/>
      <c r="XEU22" s="72"/>
    </row>
    <row r="23" s="3" customFormat="1" customHeight="1" spans="1:16375">
      <c r="A23" s="12" t="s">
        <v>55</v>
      </c>
      <c r="B23" s="13" t="s">
        <v>56</v>
      </c>
      <c r="C23" s="13" t="s">
        <v>20</v>
      </c>
      <c r="D23" s="14">
        <v>60</v>
      </c>
      <c r="E23" s="44">
        <v>1</v>
      </c>
      <c r="F23" s="44">
        <v>0</v>
      </c>
      <c r="G23" s="44">
        <f t="shared" si="0"/>
        <v>1</v>
      </c>
      <c r="H23" s="14">
        <v>22.28</v>
      </c>
      <c r="I23" s="14">
        <f t="shared" si="1"/>
        <v>22.28</v>
      </c>
      <c r="J23" s="14"/>
      <c r="K23" s="56">
        <f t="shared" si="2"/>
        <v>0</v>
      </c>
      <c r="L23" s="57">
        <f t="shared" si="3"/>
        <v>60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9"/>
      <c r="XEU23" s="71"/>
    </row>
    <row r="24" s="3" customFormat="1" customHeight="1" spans="1:16375">
      <c r="A24" s="12" t="s">
        <v>57</v>
      </c>
      <c r="B24" s="13" t="s">
        <v>58</v>
      </c>
      <c r="C24" s="13" t="s">
        <v>17</v>
      </c>
      <c r="D24" s="14">
        <v>60</v>
      </c>
      <c r="E24" s="44">
        <v>1</v>
      </c>
      <c r="F24" s="44">
        <v>1</v>
      </c>
      <c r="G24" s="44">
        <f t="shared" si="0"/>
        <v>0</v>
      </c>
      <c r="H24" s="14">
        <v>25.58</v>
      </c>
      <c r="I24" s="14">
        <f t="shared" si="1"/>
        <v>25.58</v>
      </c>
      <c r="J24" s="14"/>
      <c r="K24" s="56">
        <f t="shared" si="2"/>
        <v>60</v>
      </c>
      <c r="L24" s="57">
        <f t="shared" si="3"/>
        <v>0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9"/>
      <c r="XEU24" s="71"/>
    </row>
    <row r="25" s="3" customFormat="1" customHeight="1" spans="1:16375">
      <c r="A25" s="12" t="s">
        <v>59</v>
      </c>
      <c r="B25" s="13" t="s">
        <v>60</v>
      </c>
      <c r="C25" s="13" t="s">
        <v>17</v>
      </c>
      <c r="D25" s="14">
        <v>60</v>
      </c>
      <c r="E25" s="44">
        <v>1</v>
      </c>
      <c r="F25" s="44">
        <v>0</v>
      </c>
      <c r="G25" s="44">
        <f t="shared" si="0"/>
        <v>1</v>
      </c>
      <c r="H25" s="14">
        <v>25.58</v>
      </c>
      <c r="I25" s="14">
        <f t="shared" si="1"/>
        <v>25.58</v>
      </c>
      <c r="J25" s="14"/>
      <c r="K25" s="56">
        <f t="shared" si="2"/>
        <v>0</v>
      </c>
      <c r="L25" s="57">
        <f t="shared" si="3"/>
        <v>60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9"/>
      <c r="XEU25" s="71"/>
    </row>
    <row r="26" s="3" customFormat="1" customHeight="1" spans="1:16375">
      <c r="A26" s="12" t="s">
        <v>61</v>
      </c>
      <c r="B26" s="13" t="s">
        <v>62</v>
      </c>
      <c r="C26" s="13" t="s">
        <v>63</v>
      </c>
      <c r="D26" s="14">
        <v>65</v>
      </c>
      <c r="E26" s="44">
        <v>1</v>
      </c>
      <c r="F26" s="44">
        <v>1</v>
      </c>
      <c r="G26" s="44">
        <f t="shared" si="0"/>
        <v>0</v>
      </c>
      <c r="H26" s="14">
        <v>22.28</v>
      </c>
      <c r="I26" s="14">
        <f t="shared" si="1"/>
        <v>22.28</v>
      </c>
      <c r="J26" s="14"/>
      <c r="K26" s="56">
        <f t="shared" si="2"/>
        <v>65</v>
      </c>
      <c r="L26" s="57">
        <f t="shared" si="3"/>
        <v>0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9"/>
      <c r="XEU26" s="71"/>
    </row>
    <row r="27" s="3" customFormat="1" customHeight="1" spans="1:16375">
      <c r="A27" s="12" t="s">
        <v>64</v>
      </c>
      <c r="B27" s="13" t="s">
        <v>62</v>
      </c>
      <c r="C27" s="13" t="s">
        <v>65</v>
      </c>
      <c r="D27" s="14">
        <v>65</v>
      </c>
      <c r="E27" s="44">
        <v>2</v>
      </c>
      <c r="F27" s="44">
        <v>1</v>
      </c>
      <c r="G27" s="44">
        <f t="shared" si="0"/>
        <v>1</v>
      </c>
      <c r="H27" s="14">
        <v>22.28</v>
      </c>
      <c r="I27" s="14">
        <f t="shared" si="1"/>
        <v>44.56</v>
      </c>
      <c r="J27" s="14"/>
      <c r="K27" s="56">
        <f t="shared" si="2"/>
        <v>65</v>
      </c>
      <c r="L27" s="57">
        <f t="shared" si="3"/>
        <v>65</v>
      </c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9"/>
      <c r="XEU27" s="71"/>
    </row>
    <row r="28" s="3" customFormat="1" customHeight="1" spans="1:16375">
      <c r="A28" s="12" t="s">
        <v>66</v>
      </c>
      <c r="B28" s="13" t="s">
        <v>62</v>
      </c>
      <c r="C28" s="13" t="s">
        <v>67</v>
      </c>
      <c r="D28" s="14">
        <v>65</v>
      </c>
      <c r="E28" s="44">
        <v>1</v>
      </c>
      <c r="F28" s="44">
        <v>1</v>
      </c>
      <c r="G28" s="44">
        <f t="shared" si="0"/>
        <v>0</v>
      </c>
      <c r="H28" s="14">
        <v>22.28</v>
      </c>
      <c r="I28" s="14">
        <f t="shared" si="1"/>
        <v>22.28</v>
      </c>
      <c r="J28" s="14"/>
      <c r="K28" s="56">
        <f t="shared" si="2"/>
        <v>65</v>
      </c>
      <c r="L28" s="57">
        <f t="shared" si="3"/>
        <v>0</v>
      </c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9"/>
      <c r="XEU28" s="71"/>
    </row>
    <row r="29" s="3" customFormat="1" customHeight="1" spans="1:16375">
      <c r="A29" s="12" t="s">
        <v>68</v>
      </c>
      <c r="B29" s="13" t="s">
        <v>62</v>
      </c>
      <c r="C29" s="13" t="s">
        <v>69</v>
      </c>
      <c r="D29" s="14">
        <v>65</v>
      </c>
      <c r="E29" s="44">
        <v>2</v>
      </c>
      <c r="F29" s="44">
        <v>2</v>
      </c>
      <c r="G29" s="44">
        <f t="shared" si="0"/>
        <v>0</v>
      </c>
      <c r="H29" s="14">
        <v>22.28</v>
      </c>
      <c r="I29" s="14">
        <f t="shared" si="1"/>
        <v>44.56</v>
      </c>
      <c r="J29" s="14"/>
      <c r="K29" s="56">
        <f t="shared" si="2"/>
        <v>130</v>
      </c>
      <c r="L29" s="57">
        <f t="shared" si="3"/>
        <v>0</v>
      </c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9"/>
      <c r="XEU29" s="71"/>
    </row>
    <row r="30" s="3" customFormat="1" customHeight="1" spans="1:16375">
      <c r="A30" s="12" t="s">
        <v>70</v>
      </c>
      <c r="B30" s="13" t="s">
        <v>62</v>
      </c>
      <c r="C30" s="13" t="s">
        <v>71</v>
      </c>
      <c r="D30" s="14">
        <v>65</v>
      </c>
      <c r="E30" s="44">
        <v>2</v>
      </c>
      <c r="F30" s="44">
        <v>1</v>
      </c>
      <c r="G30" s="44">
        <f t="shared" si="0"/>
        <v>1</v>
      </c>
      <c r="H30" s="14">
        <v>22.28</v>
      </c>
      <c r="I30" s="14">
        <f t="shared" si="1"/>
        <v>44.56</v>
      </c>
      <c r="J30" s="14"/>
      <c r="K30" s="56">
        <f t="shared" si="2"/>
        <v>65</v>
      </c>
      <c r="L30" s="57">
        <f t="shared" si="3"/>
        <v>65</v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9"/>
      <c r="XEU30" s="71"/>
    </row>
    <row r="31" s="3" customFormat="1" customHeight="1" spans="1:16375">
      <c r="A31" s="12" t="s">
        <v>72</v>
      </c>
      <c r="B31" s="13" t="s">
        <v>73</v>
      </c>
      <c r="C31" s="13" t="s">
        <v>63</v>
      </c>
      <c r="D31" s="14">
        <v>65</v>
      </c>
      <c r="E31" s="44">
        <v>1</v>
      </c>
      <c r="F31" s="44">
        <v>0</v>
      </c>
      <c r="G31" s="44">
        <f t="shared" si="0"/>
        <v>1</v>
      </c>
      <c r="H31" s="14">
        <v>20.05</v>
      </c>
      <c r="I31" s="14">
        <f t="shared" si="1"/>
        <v>20.05</v>
      </c>
      <c r="J31" s="14"/>
      <c r="K31" s="56">
        <f t="shared" si="2"/>
        <v>0</v>
      </c>
      <c r="L31" s="57">
        <f t="shared" si="3"/>
        <v>65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9"/>
      <c r="XEU31" s="71"/>
    </row>
    <row r="32" s="3" customFormat="1" customHeight="1" spans="1:16375">
      <c r="A32" s="12" t="s">
        <v>74</v>
      </c>
      <c r="B32" s="13" t="s">
        <v>73</v>
      </c>
      <c r="C32" s="13" t="s">
        <v>67</v>
      </c>
      <c r="D32" s="14">
        <v>65</v>
      </c>
      <c r="E32" s="44">
        <v>1</v>
      </c>
      <c r="F32" s="44">
        <v>1</v>
      </c>
      <c r="G32" s="44">
        <f t="shared" si="0"/>
        <v>0</v>
      </c>
      <c r="H32" s="14">
        <v>20.05</v>
      </c>
      <c r="I32" s="14">
        <f t="shared" si="1"/>
        <v>20.05</v>
      </c>
      <c r="J32" s="14"/>
      <c r="K32" s="56">
        <f t="shared" si="2"/>
        <v>65</v>
      </c>
      <c r="L32" s="57">
        <f t="shared" si="3"/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9"/>
      <c r="XEU32" s="71"/>
    </row>
    <row r="33" s="3" customFormat="1" customHeight="1" spans="1:16375">
      <c r="A33" s="12" t="s">
        <v>75</v>
      </c>
      <c r="B33" s="13" t="s">
        <v>76</v>
      </c>
      <c r="C33" s="13" t="s">
        <v>71</v>
      </c>
      <c r="D33" s="14">
        <v>65</v>
      </c>
      <c r="E33" s="44">
        <v>1</v>
      </c>
      <c r="F33" s="44">
        <v>1</v>
      </c>
      <c r="G33" s="44">
        <f t="shared" si="0"/>
        <v>0</v>
      </c>
      <c r="H33" s="14">
        <v>22.28</v>
      </c>
      <c r="I33" s="14">
        <f t="shared" si="1"/>
        <v>22.28</v>
      </c>
      <c r="J33" s="14"/>
      <c r="K33" s="56">
        <f t="shared" si="2"/>
        <v>65</v>
      </c>
      <c r="L33" s="57">
        <f t="shared" si="3"/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9"/>
      <c r="XEU33" s="71"/>
    </row>
    <row r="34" s="3" customFormat="1" customHeight="1" spans="1:16375">
      <c r="A34" s="12" t="s">
        <v>77</v>
      </c>
      <c r="B34" s="13" t="s">
        <v>76</v>
      </c>
      <c r="C34" s="13" t="s">
        <v>67</v>
      </c>
      <c r="D34" s="14">
        <v>65</v>
      </c>
      <c r="E34" s="44">
        <v>1</v>
      </c>
      <c r="F34" s="44">
        <v>0</v>
      </c>
      <c r="G34" s="44">
        <f t="shared" si="0"/>
        <v>1</v>
      </c>
      <c r="H34" s="14">
        <v>22.28</v>
      </c>
      <c r="I34" s="14">
        <f t="shared" si="1"/>
        <v>22.28</v>
      </c>
      <c r="J34" s="14"/>
      <c r="K34" s="56">
        <f t="shared" si="2"/>
        <v>0</v>
      </c>
      <c r="L34" s="57">
        <f t="shared" si="3"/>
        <v>65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9"/>
      <c r="XEU34" s="71"/>
    </row>
    <row r="35" s="3" customFormat="1" customHeight="1" spans="1:16375">
      <c r="A35" s="12" t="s">
        <v>78</v>
      </c>
      <c r="B35" s="13" t="s">
        <v>79</v>
      </c>
      <c r="C35" s="13" t="s">
        <v>39</v>
      </c>
      <c r="D35" s="14">
        <v>60</v>
      </c>
      <c r="E35" s="44">
        <v>1</v>
      </c>
      <c r="F35" s="44">
        <v>1</v>
      </c>
      <c r="G35" s="44">
        <f t="shared" si="0"/>
        <v>0</v>
      </c>
      <c r="H35" s="14">
        <v>28.54</v>
      </c>
      <c r="I35" s="14">
        <f t="shared" si="1"/>
        <v>28.54</v>
      </c>
      <c r="J35" s="14"/>
      <c r="K35" s="56">
        <f t="shared" si="2"/>
        <v>60</v>
      </c>
      <c r="L35" s="57">
        <f t="shared" si="3"/>
        <v>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9"/>
      <c r="XEU35" s="71"/>
    </row>
    <row r="36" s="3" customFormat="1" customHeight="1" spans="1:16375">
      <c r="A36" s="12" t="s">
        <v>80</v>
      </c>
      <c r="B36" s="13" t="s">
        <v>79</v>
      </c>
      <c r="C36" s="13" t="s">
        <v>17</v>
      </c>
      <c r="D36" s="14">
        <v>60</v>
      </c>
      <c r="E36" s="44">
        <v>2</v>
      </c>
      <c r="F36" s="44">
        <v>1</v>
      </c>
      <c r="G36" s="44">
        <f t="shared" si="0"/>
        <v>1</v>
      </c>
      <c r="H36" s="14">
        <v>28.54</v>
      </c>
      <c r="I36" s="14">
        <f t="shared" si="1"/>
        <v>57.08</v>
      </c>
      <c r="J36" s="14"/>
      <c r="K36" s="56">
        <f t="shared" si="2"/>
        <v>60</v>
      </c>
      <c r="L36" s="57">
        <f t="shared" si="3"/>
        <v>60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9"/>
      <c r="XEU36" s="71"/>
    </row>
    <row r="37" s="3" customFormat="1" customHeight="1" spans="1:16375">
      <c r="A37" s="12" t="s">
        <v>81</v>
      </c>
      <c r="B37" s="13" t="s">
        <v>82</v>
      </c>
      <c r="C37" s="13" t="s">
        <v>39</v>
      </c>
      <c r="D37" s="14">
        <v>50</v>
      </c>
      <c r="E37" s="44">
        <v>2</v>
      </c>
      <c r="F37" s="44">
        <v>0</v>
      </c>
      <c r="G37" s="44">
        <f t="shared" si="0"/>
        <v>2</v>
      </c>
      <c r="H37" s="14">
        <v>28.54</v>
      </c>
      <c r="I37" s="14">
        <f t="shared" si="1"/>
        <v>57.08</v>
      </c>
      <c r="J37" s="14"/>
      <c r="K37" s="56">
        <f t="shared" si="2"/>
        <v>0</v>
      </c>
      <c r="L37" s="57">
        <f t="shared" si="3"/>
        <v>100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9"/>
      <c r="XEU37" s="71"/>
    </row>
    <row r="38" s="3" customFormat="1" customHeight="1" spans="1:16375">
      <c r="A38" s="12" t="s">
        <v>83</v>
      </c>
      <c r="B38" s="13" t="s">
        <v>82</v>
      </c>
      <c r="C38" s="13" t="s">
        <v>17</v>
      </c>
      <c r="D38" s="14">
        <v>50</v>
      </c>
      <c r="E38" s="44">
        <v>2</v>
      </c>
      <c r="F38" s="44">
        <v>1</v>
      </c>
      <c r="G38" s="44">
        <f t="shared" si="0"/>
        <v>1</v>
      </c>
      <c r="H38" s="14">
        <v>28.54</v>
      </c>
      <c r="I38" s="14">
        <f t="shared" si="1"/>
        <v>57.08</v>
      </c>
      <c r="J38" s="14"/>
      <c r="K38" s="56">
        <f t="shared" si="2"/>
        <v>50</v>
      </c>
      <c r="L38" s="57">
        <f t="shared" si="3"/>
        <v>50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9"/>
      <c r="XEU38" s="71"/>
    </row>
    <row r="39" s="3" customFormat="1" customHeight="1" spans="1:16375">
      <c r="A39" s="12" t="s">
        <v>84</v>
      </c>
      <c r="B39" s="13" t="s">
        <v>82</v>
      </c>
      <c r="C39" s="13" t="s">
        <v>20</v>
      </c>
      <c r="D39" s="14">
        <v>50</v>
      </c>
      <c r="E39" s="44">
        <v>1</v>
      </c>
      <c r="F39" s="44">
        <v>0</v>
      </c>
      <c r="G39" s="44">
        <f t="shared" si="0"/>
        <v>1</v>
      </c>
      <c r="H39" s="14">
        <v>13.99</v>
      </c>
      <c r="I39" s="14">
        <f t="shared" si="1"/>
        <v>13.99</v>
      </c>
      <c r="J39" s="14"/>
      <c r="K39" s="56">
        <f t="shared" si="2"/>
        <v>0</v>
      </c>
      <c r="L39" s="57">
        <f t="shared" si="3"/>
        <v>50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9"/>
      <c r="XEU39" s="71"/>
    </row>
    <row r="40" s="3" customFormat="1" customHeight="1" spans="1:16375">
      <c r="A40" s="12" t="s">
        <v>85</v>
      </c>
      <c r="B40" s="13" t="s">
        <v>86</v>
      </c>
      <c r="C40" s="13" t="s">
        <v>26</v>
      </c>
      <c r="D40" s="14">
        <v>40</v>
      </c>
      <c r="E40" s="44">
        <v>2</v>
      </c>
      <c r="F40" s="44">
        <v>0</v>
      </c>
      <c r="G40" s="44">
        <f t="shared" si="0"/>
        <v>2</v>
      </c>
      <c r="H40" s="14">
        <v>28.54</v>
      </c>
      <c r="I40" s="14">
        <f t="shared" si="1"/>
        <v>57.08</v>
      </c>
      <c r="J40" s="14"/>
      <c r="K40" s="56">
        <f t="shared" si="2"/>
        <v>0</v>
      </c>
      <c r="L40" s="57">
        <f t="shared" si="3"/>
        <v>80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9"/>
      <c r="XEU40" s="71"/>
    </row>
    <row r="41" s="3" customFormat="1" customHeight="1" spans="1:16375">
      <c r="A41" s="12" t="s">
        <v>87</v>
      </c>
      <c r="B41" s="13" t="s">
        <v>88</v>
      </c>
      <c r="C41" s="13" t="s">
        <v>17</v>
      </c>
      <c r="D41" s="14">
        <v>40</v>
      </c>
      <c r="E41" s="44">
        <v>1</v>
      </c>
      <c r="F41" s="44">
        <v>0</v>
      </c>
      <c r="G41" s="44">
        <f t="shared" si="0"/>
        <v>1</v>
      </c>
      <c r="H41" s="14">
        <v>28.54</v>
      </c>
      <c r="I41" s="14">
        <f t="shared" si="1"/>
        <v>28.54</v>
      </c>
      <c r="J41" s="14"/>
      <c r="K41" s="56">
        <f t="shared" si="2"/>
        <v>0</v>
      </c>
      <c r="L41" s="57">
        <f t="shared" si="3"/>
        <v>40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9"/>
      <c r="XEU41" s="71"/>
    </row>
    <row r="42" s="3" customFormat="1" customHeight="1" spans="1:16375">
      <c r="A42" s="12" t="s">
        <v>89</v>
      </c>
      <c r="B42" s="13" t="s">
        <v>88</v>
      </c>
      <c r="C42" s="13" t="s">
        <v>39</v>
      </c>
      <c r="D42" s="14">
        <v>40</v>
      </c>
      <c r="E42" s="44">
        <v>1</v>
      </c>
      <c r="F42" s="44">
        <v>1</v>
      </c>
      <c r="G42" s="44">
        <f t="shared" si="0"/>
        <v>0</v>
      </c>
      <c r="H42" s="14">
        <v>28.54</v>
      </c>
      <c r="I42" s="14">
        <f t="shared" si="1"/>
        <v>28.54</v>
      </c>
      <c r="J42" s="14"/>
      <c r="K42" s="56">
        <f t="shared" si="2"/>
        <v>40</v>
      </c>
      <c r="L42" s="57">
        <f t="shared" si="3"/>
        <v>0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9"/>
      <c r="XEU42" s="71"/>
    </row>
    <row r="43" s="3" customFormat="1" customHeight="1" spans="1:16375">
      <c r="A43" s="12" t="s">
        <v>90</v>
      </c>
      <c r="B43" s="13" t="s">
        <v>91</v>
      </c>
      <c r="C43" s="13" t="s">
        <v>20</v>
      </c>
      <c r="D43" s="14">
        <v>60</v>
      </c>
      <c r="E43" s="44">
        <v>2</v>
      </c>
      <c r="F43" s="44">
        <v>1</v>
      </c>
      <c r="G43" s="44">
        <f t="shared" si="0"/>
        <v>1</v>
      </c>
      <c r="H43" s="14">
        <v>28.54</v>
      </c>
      <c r="I43" s="14">
        <f t="shared" si="1"/>
        <v>57.08</v>
      </c>
      <c r="J43" s="14"/>
      <c r="K43" s="56">
        <f t="shared" si="2"/>
        <v>60</v>
      </c>
      <c r="L43" s="57">
        <f t="shared" si="3"/>
        <v>60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9"/>
      <c r="XEU43" s="71"/>
    </row>
    <row r="44" s="3" customFormat="1" customHeight="1" spans="1:16375">
      <c r="A44" s="12" t="s">
        <v>92</v>
      </c>
      <c r="B44" s="13" t="s">
        <v>91</v>
      </c>
      <c r="C44" s="13" t="s">
        <v>17</v>
      </c>
      <c r="D44" s="14">
        <v>60</v>
      </c>
      <c r="E44" s="44">
        <v>2</v>
      </c>
      <c r="F44" s="44">
        <v>0</v>
      </c>
      <c r="G44" s="44">
        <f t="shared" si="0"/>
        <v>2</v>
      </c>
      <c r="H44" s="14">
        <v>28.54</v>
      </c>
      <c r="I44" s="14">
        <f t="shared" si="1"/>
        <v>57.08</v>
      </c>
      <c r="J44" s="14"/>
      <c r="K44" s="56">
        <f t="shared" si="2"/>
        <v>0</v>
      </c>
      <c r="L44" s="57">
        <f t="shared" si="3"/>
        <v>120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9"/>
      <c r="XEU44" s="71"/>
    </row>
    <row r="45" s="3" customFormat="1" customHeight="1" spans="1:16375">
      <c r="A45" s="12" t="s">
        <v>93</v>
      </c>
      <c r="B45" s="13" t="s">
        <v>91</v>
      </c>
      <c r="C45" s="13" t="s">
        <v>39</v>
      </c>
      <c r="D45" s="14">
        <v>60</v>
      </c>
      <c r="E45" s="44">
        <v>2</v>
      </c>
      <c r="F45" s="44">
        <v>1</v>
      </c>
      <c r="G45" s="44">
        <f t="shared" si="0"/>
        <v>1</v>
      </c>
      <c r="H45" s="14">
        <v>28.54</v>
      </c>
      <c r="I45" s="14">
        <f t="shared" si="1"/>
        <v>57.08</v>
      </c>
      <c r="J45" s="14"/>
      <c r="K45" s="56">
        <f t="shared" si="2"/>
        <v>60</v>
      </c>
      <c r="L45" s="57">
        <f t="shared" si="3"/>
        <v>60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9"/>
      <c r="XEU45" s="71"/>
    </row>
    <row r="46" s="5" customFormat="1" customHeight="1" spans="1:16375">
      <c r="A46" s="12"/>
      <c r="B46" s="13"/>
      <c r="C46" s="13"/>
      <c r="D46" s="14"/>
      <c r="E46" s="44"/>
      <c r="F46" s="44"/>
      <c r="G46" s="44"/>
      <c r="H46" s="14"/>
      <c r="I46" s="14"/>
      <c r="J46" s="14"/>
      <c r="K46" s="56"/>
      <c r="L46" s="57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XEU46" s="73"/>
    </row>
    <row r="47" customHeight="1" spans="1:61">
      <c r="A47" s="18"/>
      <c r="B47" s="19" t="s">
        <v>94</v>
      </c>
      <c r="C47" s="20">
        <f>SUM(E3:E45)</f>
        <v>58</v>
      </c>
      <c r="D47" s="21"/>
      <c r="E47" s="21"/>
      <c r="F47" s="46"/>
      <c r="G47" s="47"/>
      <c r="H47" s="47"/>
      <c r="I47" s="47"/>
      <c r="J47" s="47"/>
      <c r="K47" s="47"/>
      <c r="L47" s="58"/>
      <c r="M47" s="66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</row>
    <row r="48" customHeight="1" spans="1:13">
      <c r="A48" s="22"/>
      <c r="B48" s="19" t="s">
        <v>95</v>
      </c>
      <c r="C48" s="23">
        <f>SUM(F3:F45)</f>
        <v>30</v>
      </c>
      <c r="D48" s="24"/>
      <c r="E48" s="24"/>
      <c r="F48" s="24"/>
      <c r="G48" s="48"/>
      <c r="H48" s="49"/>
      <c r="I48" s="49"/>
      <c r="J48" s="49"/>
      <c r="K48" s="49"/>
      <c r="L48" s="59"/>
      <c r="M48" s="67"/>
    </row>
    <row r="49" customHeight="1" spans="1:13">
      <c r="A49" s="25"/>
      <c r="B49" s="19" t="s">
        <v>96</v>
      </c>
      <c r="C49" s="26">
        <f>SUM(K3:K45)</f>
        <v>1675</v>
      </c>
      <c r="D49" s="27"/>
      <c r="E49" s="27"/>
      <c r="F49" s="27"/>
      <c r="G49" s="50"/>
      <c r="H49" s="50"/>
      <c r="I49" s="50"/>
      <c r="J49" s="50"/>
      <c r="K49" s="50"/>
      <c r="L49" s="59"/>
      <c r="M49" s="67"/>
    </row>
    <row r="50" s="6" customFormat="1" customHeight="1" spans="1:13">
      <c r="A50" s="28"/>
      <c r="B50" s="29" t="s">
        <v>97</v>
      </c>
      <c r="C50" s="30">
        <f>SUM(I3:I45)</f>
        <v>1371.06</v>
      </c>
      <c r="D50" s="31"/>
      <c r="E50" s="31"/>
      <c r="F50" s="31"/>
      <c r="G50" s="50"/>
      <c r="H50" s="50"/>
      <c r="I50" s="50"/>
      <c r="J50" s="50"/>
      <c r="K50" s="50"/>
      <c r="L50" s="60"/>
      <c r="M50" s="68"/>
    </row>
    <row r="51" s="6" customFormat="1" customHeight="1" spans="1:13">
      <c r="A51" s="28"/>
      <c r="B51" s="29" t="s">
        <v>98</v>
      </c>
      <c r="C51" s="32">
        <f>J3</f>
        <v>253</v>
      </c>
      <c r="D51" s="33"/>
      <c r="E51" s="33"/>
      <c r="F51" s="33"/>
      <c r="G51" s="50"/>
      <c r="H51" s="50"/>
      <c r="I51" s="50"/>
      <c r="J51" s="50"/>
      <c r="K51" s="50"/>
      <c r="L51" s="60"/>
      <c r="M51" s="68"/>
    </row>
    <row r="52" s="6" customFormat="1" customHeight="1" spans="1:13">
      <c r="A52" s="28"/>
      <c r="B52" s="29" t="s">
        <v>99</v>
      </c>
      <c r="C52" s="34">
        <f>C49*2%</f>
        <v>33.5</v>
      </c>
      <c r="D52" s="35"/>
      <c r="E52" s="35"/>
      <c r="F52" s="35"/>
      <c r="G52" s="50"/>
      <c r="H52" s="50"/>
      <c r="I52" s="50"/>
      <c r="J52" s="50"/>
      <c r="K52" s="50"/>
      <c r="L52" s="60"/>
      <c r="M52" s="68"/>
    </row>
    <row r="53" s="6" customFormat="1" customHeight="1" spans="1:13">
      <c r="A53" s="28"/>
      <c r="B53" s="29" t="s">
        <v>100</v>
      </c>
      <c r="C53" s="34">
        <f>C52+C51+C50</f>
        <v>1657.56</v>
      </c>
      <c r="D53" s="35"/>
      <c r="E53" s="35"/>
      <c r="F53" s="35"/>
      <c r="G53" s="50"/>
      <c r="H53" s="50"/>
      <c r="I53" s="50"/>
      <c r="J53" s="50"/>
      <c r="K53" s="50"/>
      <c r="L53" s="60"/>
      <c r="M53" s="68"/>
    </row>
    <row r="54" s="6" customFormat="1" customHeight="1" spans="1:13">
      <c r="A54" s="28"/>
      <c r="B54" s="36" t="s">
        <v>101</v>
      </c>
      <c r="C54" s="37">
        <f>SUM(G3:G45)</f>
        <v>28</v>
      </c>
      <c r="D54" s="38"/>
      <c r="E54" s="38"/>
      <c r="F54" s="51"/>
      <c r="G54" s="50"/>
      <c r="H54" s="50"/>
      <c r="I54" s="50"/>
      <c r="J54" s="50"/>
      <c r="K54" s="50"/>
      <c r="L54" s="60"/>
      <c r="M54" s="68"/>
    </row>
    <row r="55" customHeight="1" spans="1:13">
      <c r="A55" s="25"/>
      <c r="B55" s="39" t="s">
        <v>102</v>
      </c>
      <c r="C55" s="40">
        <f>SUM(L3:L45)</f>
        <v>1480</v>
      </c>
      <c r="D55" s="41"/>
      <c r="E55" s="41"/>
      <c r="F55" s="52"/>
      <c r="G55" s="49"/>
      <c r="H55" s="49"/>
      <c r="I55" s="49"/>
      <c r="J55" s="49"/>
      <c r="K55" s="49"/>
      <c r="L55" s="59"/>
      <c r="M55" s="67"/>
    </row>
    <row r="56" customHeight="1" spans="1:12">
      <c r="A56" s="25"/>
      <c r="B56" s="41"/>
      <c r="C56" s="41"/>
      <c r="D56" s="41"/>
      <c r="E56" s="41"/>
      <c r="F56" s="41"/>
      <c r="G56" s="53"/>
      <c r="H56" s="53"/>
      <c r="I56" s="53"/>
      <c r="J56" s="53"/>
      <c r="K56" s="53"/>
      <c r="L56" s="61"/>
    </row>
    <row r="57" customHeight="1" spans="1:12">
      <c r="A57" s="25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62"/>
    </row>
    <row r="58" customHeight="1" spans="1:12">
      <c r="A58" s="25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62"/>
    </row>
    <row r="59" customHeight="1" spans="1:12">
      <c r="A59" s="25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62"/>
    </row>
    <row r="60" customHeight="1" spans="1:12">
      <c r="A60" s="25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62"/>
    </row>
    <row r="61" customHeight="1" spans="1:12">
      <c r="A61" s="25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62"/>
    </row>
    <row r="62" customHeight="1" spans="1:12">
      <c r="A62" s="25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62"/>
    </row>
    <row r="63" customHeight="1" spans="1:12">
      <c r="A63" s="25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62"/>
    </row>
    <row r="64" customHeight="1" spans="2:11">
      <c r="B64" s="42"/>
      <c r="C64" s="42"/>
      <c r="D64" s="42"/>
      <c r="E64" s="42"/>
      <c r="F64" s="42"/>
      <c r="G64" s="42"/>
      <c r="H64" s="42"/>
      <c r="I64" s="42"/>
      <c r="J64" s="42"/>
      <c r="K64" s="42"/>
    </row>
  </sheetData>
  <mergeCells count="5">
    <mergeCell ref="A1:C1"/>
    <mergeCell ref="D1:G1"/>
    <mergeCell ref="H1:J1"/>
    <mergeCell ref="C47:F47"/>
    <mergeCell ref="C48:F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2026-01-24T07:59:00Z</dcterms:created>
  <dcterms:modified xsi:type="dcterms:W3CDTF">2026-01-25T11:15:03Z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