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20" windowHeight="1250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<sst xmlns="http://schemas.openxmlformats.org/spreadsheetml/2006/main" count="8" uniqueCount="6">
  <si>
    <t>LTA2551</t>
  </si>
  <si>
    <t>calzado-hombres</t>
  </si>
  <si>
    <t>Botas safari marrón H&amp;M</t>
  </si>
  <si>
    <t>Talla 41</t>
  </si>
  <si>
    <t>LTA2553</t>
  </si>
  <si>
    <t>Talla 43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</si>
</sst>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_);[Red]\(0\)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176" fontId="1" fillId="0" borderId="0" xfId="27" applyNumberFormat="1" applyFont="1" applyFill="1" applyBorder="1" applyAlignment="1" applyProtection="1"/>
    <xf numFmtId="0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/>
    <xf numFmtId="0" fontId="0" fillId="0" borderId="0" xfId="0" applyFont="1" applyFill="1" applyAlignment="1"/>
    <xf numFmtId="0" fontId="1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2">
          <cell r="A2" t="str">
            <v>UB0184</v>
          </cell>
        </row>
      </sheetData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2"/>
  <sheetViews>
    <sheetView tabSelected="1" workbookViewId="0">
      <selection activeCell="H23" sqref="H23"/>
    </sheetView>
  </sheetViews>
  <sheetFormatPr defaultColWidth="9" defaultRowHeight="14" outlineLevelRow="1"/>
  <sheetData>
    <row r="1" s="1" customFormat="1" ht="20" customHeight="1" spans="1:16380">
      <c r="A1" s="2" t="s">
        <v>0</v>
      </c>
      <c r="B1" s="3" t="s">
        <v>1</v>
      </c>
      <c r="C1" s="3" t="s">
        <v>2</v>
      </c>
      <c r="D1" s="3" t="s">
        <v>3</v>
      </c>
      <c r="E1" s="3"/>
      <c r="F1" s="4">
        <v>70</v>
      </c>
      <c r="G1" s="5">
        <v>2</v>
      </c>
      <c r="H1" s="6">
        <f>SUMIFS([1]!VENTAS[Cantidad],[1]!VENTAS[Código del producto Vendido],[1]!STOCK[[#This Row],[Code]])</f>
        <v>0</v>
      </c>
      <c r="I1" s="5">
        <v>2</v>
      </c>
      <c r="J1" s="3"/>
      <c r="K1" s="7">
        <v>30.99</v>
      </c>
      <c r="L1" s="7">
        <v>3.65</v>
      </c>
      <c r="M1" s="7">
        <v>34.64</v>
      </c>
      <c r="N1" s="8">
        <v>103.92</v>
      </c>
      <c r="O1" s="7">
        <f>F1</f>
        <v>70</v>
      </c>
      <c r="P1" s="9"/>
      <c r="Q1" s="9"/>
      <c r="R1" s="9"/>
      <c r="S1" s="9"/>
      <c r="T1" s="9"/>
      <c r="U1" s="9"/>
      <c r="V1" s="10"/>
      <c r="W1" s="10">
        <f>O1/1.3</f>
        <v>53.8461538461538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</row>
    <row r="2" s="1" customFormat="1" ht="20" customHeight="1" spans="1:16380">
      <c r="A2" s="2" t="s">
        <v>4</v>
      </c>
      <c r="B2" s="3" t="s">
        <v>1</v>
      </c>
      <c r="C2" s="3" t="s">
        <v>2</v>
      </c>
      <c r="D2" s="3" t="s">
        <v>5</v>
      </c>
      <c r="E2" s="3"/>
      <c r="F2" s="4">
        <v>70</v>
      </c>
      <c r="G2" s="5">
        <v>1</v>
      </c>
      <c r="H2" s="6">
        <f>SUMIFS([1]!VENTAS[Cantidad],[1]!VENTAS[Código del producto Vendido],[1]!STOCK[[#This Row],[Code]])</f>
        <v>1</v>
      </c>
      <c r="I2" s="5">
        <v>1</v>
      </c>
      <c r="J2" s="3"/>
      <c r="K2" s="7">
        <v>30.99</v>
      </c>
      <c r="L2" s="7">
        <v>3.65</v>
      </c>
      <c r="M2" s="7">
        <v>34.64</v>
      </c>
      <c r="N2" s="8">
        <v>69.28</v>
      </c>
      <c r="O2" s="7">
        <f>F2</f>
        <v>70</v>
      </c>
      <c r="P2" s="9"/>
      <c r="Q2" s="9"/>
      <c r="R2" s="9"/>
      <c r="S2" s="9"/>
      <c r="T2" s="9"/>
      <c r="U2" s="9"/>
      <c r="V2" s="10"/>
      <c r="W2" s="10">
        <f>O2/1.3</f>
        <v>53.8461538461538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2026-09-07T12:56:14Z</dcterms:created>
  <dcterms:modified xsi:type="dcterms:W3CDTF">2026-09-07T13:02:59Z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