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8"/>
  <workbookPr/>
  <mc:AlternateContent xmlns:mc="http://schemas.openxmlformats.org/markup-compatibility/2006">
    <mc:Choice Requires="x15">
      <x15ac:absPath xmlns:x15ac="http://schemas.microsoft.com/office/spreadsheetml/2010/11/ac" url="/Users/user/Documents/GitHub/ss/"/>
    </mc:Choice>
  </mc:AlternateContent>
  <xr:revisionPtr revIDLastSave="0" documentId="13_ncr:1_{B80CB60B-5D6D-5F4C-B9AF-4CC4EC20AE0A}" xr6:coauthVersionLast="47" xr6:coauthVersionMax="47" xr10:uidLastSave="{00000000-0000-0000-0000-000000000000}"/>
  <bookViews>
    <workbookView xWindow="0" yWindow="600" windowWidth="24700" windowHeight="1242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33" i="1" l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380" i="1"/>
  <c r="M381" i="1"/>
  <c r="M382" i="1"/>
  <c r="M383" i="1"/>
  <c r="M384" i="1"/>
  <c r="M385" i="1"/>
  <c r="M386" i="1"/>
  <c r="M387" i="1"/>
  <c r="M388" i="1"/>
  <c r="M377" i="1"/>
  <c r="M378" i="1"/>
  <c r="M379" i="1"/>
  <c r="M376" i="1"/>
  <c r="M375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6" i="1"/>
  <c r="I1235" i="1"/>
  <c r="I1234" i="1"/>
  <c r="I1232" i="1"/>
  <c r="I1231" i="1"/>
  <c r="K1145" i="1"/>
  <c r="I1145" i="1"/>
  <c r="I1136" i="1"/>
  <c r="I1135" i="1"/>
  <c r="I1134" i="1"/>
  <c r="I1125" i="1"/>
  <c r="I1119" i="1"/>
  <c r="I1113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O281" i="1"/>
  <c r="M281" i="1"/>
  <c r="O280" i="1"/>
  <c r="M280" i="1"/>
  <c r="O279" i="1"/>
  <c r="M279" i="1"/>
  <c r="O278" i="1"/>
  <c r="M278" i="1"/>
  <c r="O277" i="1"/>
  <c r="M277" i="1"/>
  <c r="O276" i="1"/>
  <c r="M276" i="1"/>
  <c r="O275" i="1"/>
  <c r="M275" i="1"/>
  <c r="O274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I149" i="1"/>
  <c r="M148" i="1"/>
  <c r="I148" i="1"/>
  <c r="M147" i="1"/>
  <c r="I147" i="1"/>
  <c r="M146" i="1"/>
  <c r="I146" i="1"/>
  <c r="M145" i="1"/>
  <c r="I145" i="1"/>
  <c r="M144" i="1"/>
  <c r="I144" i="1"/>
  <c r="M143" i="1"/>
  <c r="I143" i="1"/>
  <c r="M142" i="1"/>
  <c r="I142" i="1"/>
  <c r="M141" i="1"/>
  <c r="I141" i="1"/>
  <c r="M140" i="1"/>
  <c r="I140" i="1"/>
  <c r="M139" i="1"/>
  <c r="I139" i="1"/>
  <c r="M138" i="1"/>
  <c r="I138" i="1"/>
  <c r="M137" i="1"/>
  <c r="I137" i="1"/>
  <c r="M136" i="1"/>
  <c r="I136" i="1"/>
  <c r="M135" i="1"/>
  <c r="I135" i="1"/>
  <c r="M134" i="1"/>
  <c r="I134" i="1"/>
  <c r="M133" i="1"/>
  <c r="I133" i="1"/>
  <c r="M132" i="1"/>
  <c r="I132" i="1"/>
  <c r="M131" i="1"/>
  <c r="I131" i="1"/>
  <c r="M130" i="1"/>
  <c r="I130" i="1"/>
  <c r="M129" i="1"/>
  <c r="I129" i="1"/>
  <c r="M128" i="1"/>
  <c r="I128" i="1"/>
  <c r="M127" i="1"/>
  <c r="I127" i="1"/>
  <c r="M126" i="1"/>
  <c r="I126" i="1"/>
  <c r="M125" i="1"/>
  <c r="I125" i="1"/>
  <c r="M124" i="1"/>
  <c r="I124" i="1"/>
  <c r="M123" i="1"/>
  <c r="I123" i="1"/>
  <c r="M122" i="1"/>
  <c r="M121" i="1"/>
  <c r="I121" i="1"/>
  <c r="M120" i="1"/>
  <c r="I120" i="1"/>
  <c r="M119" i="1"/>
  <c r="I119" i="1"/>
  <c r="M118" i="1"/>
  <c r="I118" i="1"/>
  <c r="M117" i="1"/>
  <c r="I117" i="1"/>
  <c r="M116" i="1"/>
  <c r="I116" i="1"/>
  <c r="M115" i="1"/>
  <c r="I115" i="1"/>
  <c r="M114" i="1"/>
  <c r="I114" i="1"/>
  <c r="M113" i="1"/>
  <c r="I113" i="1"/>
  <c r="M112" i="1"/>
  <c r="I112" i="1"/>
  <c r="M111" i="1"/>
  <c r="I111" i="1"/>
  <c r="M110" i="1"/>
  <c r="I110" i="1"/>
  <c r="M109" i="1"/>
  <c r="I109" i="1"/>
  <c r="M108" i="1"/>
  <c r="I108" i="1"/>
  <c r="M107" i="1"/>
  <c r="I107" i="1"/>
  <c r="M106" i="1"/>
  <c r="I106" i="1"/>
  <c r="M105" i="1"/>
  <c r="I105" i="1"/>
  <c r="M104" i="1"/>
  <c r="M103" i="1"/>
  <c r="M102" i="1"/>
  <c r="I102" i="1"/>
  <c r="M101" i="1"/>
  <c r="I101" i="1"/>
  <c r="M100" i="1"/>
  <c r="I100" i="1"/>
  <c r="M99" i="1"/>
  <c r="I99" i="1"/>
  <c r="M98" i="1"/>
  <c r="M97" i="1"/>
  <c r="I97" i="1"/>
  <c r="M96" i="1"/>
  <c r="I96" i="1"/>
  <c r="M95" i="1"/>
  <c r="I95" i="1"/>
  <c r="M94" i="1"/>
  <c r="I94" i="1"/>
  <c r="M93" i="1"/>
  <c r="I93" i="1"/>
  <c r="M92" i="1"/>
  <c r="I92" i="1"/>
  <c r="M91" i="1"/>
  <c r="I91" i="1"/>
  <c r="M90" i="1"/>
  <c r="I90" i="1"/>
  <c r="M89" i="1"/>
  <c r="I89" i="1"/>
  <c r="M88" i="1"/>
  <c r="I88" i="1"/>
  <c r="M87" i="1"/>
  <c r="I87" i="1"/>
  <c r="M86" i="1"/>
  <c r="I86" i="1"/>
  <c r="M85" i="1"/>
  <c r="I85" i="1"/>
  <c r="M84" i="1"/>
  <c r="I84" i="1"/>
  <c r="M83" i="1"/>
  <c r="I83" i="1"/>
  <c r="M82" i="1"/>
  <c r="I82" i="1"/>
  <c r="M81" i="1"/>
  <c r="I81" i="1"/>
  <c r="M80" i="1"/>
  <c r="I80" i="1"/>
  <c r="M79" i="1"/>
  <c r="I79" i="1"/>
  <c r="M78" i="1"/>
  <c r="I78" i="1"/>
  <c r="M77" i="1"/>
  <c r="I77" i="1"/>
  <c r="M76" i="1"/>
  <c r="I76" i="1"/>
  <c r="M75" i="1"/>
  <c r="I75" i="1"/>
  <c r="M74" i="1"/>
  <c r="I74" i="1"/>
  <c r="M73" i="1"/>
  <c r="I73" i="1"/>
  <c r="M72" i="1"/>
  <c r="I72" i="1"/>
  <c r="M71" i="1"/>
  <c r="I71" i="1"/>
  <c r="M70" i="1"/>
  <c r="I70" i="1"/>
  <c r="M69" i="1"/>
  <c r="I69" i="1"/>
  <c r="M68" i="1"/>
  <c r="I68" i="1"/>
  <c r="M67" i="1"/>
  <c r="I67" i="1"/>
  <c r="M66" i="1"/>
  <c r="I66" i="1"/>
  <c r="M65" i="1"/>
  <c r="I65" i="1"/>
  <c r="M64" i="1"/>
  <c r="I64" i="1"/>
  <c r="M63" i="1"/>
  <c r="I63" i="1"/>
  <c r="M62" i="1"/>
  <c r="I62" i="1"/>
  <c r="M61" i="1"/>
  <c r="I61" i="1"/>
  <c r="M60" i="1"/>
  <c r="I60" i="1"/>
  <c r="M59" i="1"/>
  <c r="I59" i="1"/>
  <c r="M58" i="1"/>
  <c r="I58" i="1"/>
  <c r="M57" i="1"/>
  <c r="I57" i="1"/>
  <c r="M56" i="1"/>
  <c r="I56" i="1"/>
  <c r="M55" i="1"/>
  <c r="I55" i="1"/>
  <c r="M54" i="1"/>
  <c r="I54" i="1"/>
  <c r="M53" i="1"/>
  <c r="I53" i="1"/>
  <c r="M52" i="1"/>
  <c r="I52" i="1"/>
  <c r="M51" i="1"/>
  <c r="I51" i="1"/>
  <c r="M50" i="1"/>
  <c r="I50" i="1"/>
  <c r="M49" i="1"/>
  <c r="I49" i="1"/>
  <c r="M48" i="1"/>
  <c r="I48" i="1"/>
  <c r="M47" i="1"/>
  <c r="I47" i="1"/>
  <c r="M46" i="1"/>
  <c r="I46" i="1"/>
  <c r="M45" i="1"/>
  <c r="I45" i="1"/>
  <c r="M44" i="1"/>
  <c r="I44" i="1"/>
  <c r="M43" i="1"/>
  <c r="I43" i="1"/>
  <c r="M42" i="1"/>
  <c r="I42" i="1"/>
  <c r="M41" i="1"/>
  <c r="I41" i="1"/>
  <c r="M40" i="1"/>
  <c r="I40" i="1"/>
  <c r="M39" i="1"/>
  <c r="I39" i="1"/>
  <c r="M38" i="1"/>
  <c r="I38" i="1"/>
  <c r="M37" i="1"/>
  <c r="I37" i="1"/>
  <c r="M36" i="1"/>
  <c r="I36" i="1"/>
  <c r="M35" i="1"/>
  <c r="I35" i="1"/>
  <c r="M34" i="1"/>
  <c r="I34" i="1"/>
  <c r="M33" i="1"/>
  <c r="I33" i="1"/>
  <c r="M32" i="1"/>
  <c r="I32" i="1"/>
  <c r="M31" i="1"/>
  <c r="I31" i="1"/>
  <c r="M30" i="1"/>
  <c r="I30" i="1"/>
  <c r="M29" i="1"/>
  <c r="I29" i="1"/>
  <c r="M28" i="1"/>
  <c r="I28" i="1"/>
  <c r="M27" i="1"/>
  <c r="I27" i="1"/>
  <c r="M26" i="1"/>
  <c r="I26" i="1"/>
  <c r="M25" i="1"/>
  <c r="I25" i="1"/>
  <c r="M24" i="1"/>
  <c r="I24" i="1"/>
  <c r="M23" i="1"/>
  <c r="I23" i="1"/>
  <c r="M22" i="1"/>
  <c r="I22" i="1"/>
  <c r="M21" i="1"/>
  <c r="I21" i="1"/>
  <c r="M20" i="1"/>
  <c r="I20" i="1"/>
  <c r="M19" i="1"/>
  <c r="I19" i="1"/>
  <c r="M18" i="1"/>
  <c r="I18" i="1"/>
  <c r="M17" i="1"/>
  <c r="I17" i="1"/>
  <c r="M16" i="1"/>
  <c r="I16" i="1"/>
  <c r="M15" i="1"/>
  <c r="I15" i="1"/>
  <c r="M14" i="1"/>
  <c r="I14" i="1"/>
  <c r="M13" i="1"/>
  <c r="I13" i="1"/>
  <c r="M12" i="1"/>
  <c r="I12" i="1"/>
  <c r="M11" i="1"/>
  <c r="I11" i="1"/>
  <c r="M10" i="1"/>
  <c r="I10" i="1"/>
  <c r="M9" i="1"/>
  <c r="I9" i="1"/>
  <c r="M8" i="1"/>
  <c r="I8" i="1"/>
  <c r="M7" i="1"/>
  <c r="I7" i="1"/>
  <c r="M6" i="1"/>
  <c r="I6" i="1"/>
  <c r="M5" i="1"/>
  <c r="I5" i="1"/>
  <c r="M4" i="1"/>
  <c r="I4" i="1"/>
  <c r="M3" i="1"/>
  <c r="I3" i="1"/>
  <c r="M2" i="1"/>
  <c r="I2" i="1"/>
</calcChain>
</file>

<file path=xl/sharedStrings.xml><?xml version="1.0" encoding="utf-8"?>
<sst xmlns="http://schemas.openxmlformats.org/spreadsheetml/2006/main" count="4453" uniqueCount="1298">
  <si>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</si>
  <si>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</si>
  <si>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</si>
  <si>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</si>
  <si>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</si>
  <si>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</si>
  <si>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</si>
  <si>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</si>
  <si>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</si>
  <si>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</si>
  <si>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</si>
  <si>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</si>
  <si>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 xml:space="preserve">Costo total por unidad </t>
  </si>
  <si>
    <t>Costo Total por cantidad</t>
  </si>
  <si>
    <t>LTA2273</t>
  </si>
  <si>
    <t>Partes-de-abajo /tallas-extras</t>
  </si>
  <si>
    <t>Short de felpa de algodón lavado H&amp;M</t>
  </si>
  <si>
    <t>Talla XL</t>
  </si>
  <si>
    <t>Partes-de-arriba-mujer /talla-pequena</t>
  </si>
  <si>
    <t>LTA2274</t>
  </si>
  <si>
    <t>Short en french terry negro H&amp;M</t>
  </si>
  <si>
    <t>Partes_de_arriba_mujer /talla_mediana</t>
  </si>
  <si>
    <t>LTA2275</t>
  </si>
  <si>
    <t>Short en mezcal de lino con cordón de ajuste</t>
  </si>
  <si>
    <t>Partes_de_arriba_mujer /talla_grande</t>
  </si>
  <si>
    <t>LTA2276</t>
  </si>
  <si>
    <t>Short en french terry azul navy H&amp;M</t>
  </si>
  <si>
    <t>Talla XXL</t>
  </si>
  <si>
    <t>LTA2277</t>
  </si>
  <si>
    <t>Short en french terry gris topo H&amp;M</t>
  </si>
  <si>
    <t>Partes_de_abajo_mujer /talla_pequena</t>
  </si>
  <si>
    <t>LTA2278</t>
  </si>
  <si>
    <t>Partes-de-abajo /tallas-grandes</t>
  </si>
  <si>
    <t>Short en french terry crema H&amp;M</t>
  </si>
  <si>
    <t>Talla L</t>
  </si>
  <si>
    <t>Partes_de_abajo_mujer /talla_mediana</t>
  </si>
  <si>
    <t>LTA2279</t>
  </si>
  <si>
    <t>Short en french terry gris jaspeado H&amp;M</t>
  </si>
  <si>
    <t>Partes_de_abajo_mujer /talla_grande</t>
  </si>
  <si>
    <t>LTA2280</t>
  </si>
  <si>
    <t>LTA2281</t>
  </si>
  <si>
    <t>Vestido /talla_pequena</t>
  </si>
  <si>
    <t>LTA2282</t>
  </si>
  <si>
    <t>Short en french terry rosa palo H&amp;M</t>
  </si>
  <si>
    <t>Vestido /talla_mediana</t>
  </si>
  <si>
    <t>LTA2283</t>
  </si>
  <si>
    <t>Short en french terry rojo vino H&amp;M</t>
  </si>
  <si>
    <t>Vestido /talla_grande</t>
  </si>
  <si>
    <t>LTA2284</t>
  </si>
  <si>
    <t>LTA2285</t>
  </si>
  <si>
    <t>Bolsos_mujer</t>
  </si>
  <si>
    <t>LTA2286</t>
  </si>
  <si>
    <t>Short de algodón azul navy H&amp;M</t>
  </si>
  <si>
    <t>LTA2287</t>
  </si>
  <si>
    <t>Short desvalados en french terry de algodón gris H&amp;M</t>
  </si>
  <si>
    <t>Calzado_mujer</t>
  </si>
  <si>
    <t>LTA2288</t>
  </si>
  <si>
    <t>Short fruncidos de viscosa negro H&amp;M</t>
  </si>
  <si>
    <t>LTA2289</t>
  </si>
  <si>
    <t>Short fruncidos de viscosa verde olivo H&amp;M</t>
  </si>
  <si>
    <t>Calzado_hombre</t>
  </si>
  <si>
    <t>LTA2290</t>
  </si>
  <si>
    <t>Short de punto azul cielo</t>
  </si>
  <si>
    <t>LTA2291</t>
  </si>
  <si>
    <t>Short de algodón con cordón rosa claro H&amp;M</t>
  </si>
  <si>
    <t>Trajes_de_baño_mujer /talla_pequena</t>
  </si>
  <si>
    <t>LTA2292</t>
  </si>
  <si>
    <t>Short de mezcla de lino con cordón de ajuste verde claro H&amp;M</t>
  </si>
  <si>
    <t>Trajes_de_baño_mujer /talla_mediana</t>
  </si>
  <si>
    <t>LTA2293</t>
  </si>
  <si>
    <t>Short con lazos blanco H&amp;M</t>
  </si>
  <si>
    <t>Talla XL_12</t>
  </si>
  <si>
    <t>Trajes_de_baño_mujer /talla_grande</t>
  </si>
  <si>
    <t>LTA2294</t>
  </si>
  <si>
    <t>Short con lazos negro H&amp;M</t>
  </si>
  <si>
    <t>LTA2295</t>
  </si>
  <si>
    <t>Short de talle alto bordado inglés blanco H&amp;M</t>
  </si>
  <si>
    <t>LTA2296</t>
  </si>
  <si>
    <t>Short con sarga con corón de ajuste turquesa claro H&amp;M</t>
  </si>
  <si>
    <t>Ropa_interior_mujer</t>
  </si>
  <si>
    <t>LTA2297</t>
  </si>
  <si>
    <t>Short de algodón negro/cuadros gingham H&amp;M</t>
  </si>
  <si>
    <t>LTA2298</t>
  </si>
  <si>
    <t>Short desvalados en french terry de algodón greige claro H&amp;M</t>
  </si>
  <si>
    <t>Accesorios</t>
  </si>
  <si>
    <t>LTA2299</t>
  </si>
  <si>
    <t>LTA2400</t>
  </si>
  <si>
    <t>Short desvalados en french terry de algodón crema H&amp;M</t>
  </si>
  <si>
    <t>Perfumes_mujer</t>
  </si>
  <si>
    <t>LTA2401</t>
  </si>
  <si>
    <t>Partes-de-abajo /tallas-pequenas</t>
  </si>
  <si>
    <t>Talla S</t>
  </si>
  <si>
    <t>Perfumes_hombre</t>
  </si>
  <si>
    <t>partes-de-abajo-hombres /tallas-pequenas</t>
  </si>
  <si>
    <t>Joggers cargo slim fit negro H&amp;M</t>
  </si>
  <si>
    <t>Talla XS</t>
  </si>
  <si>
    <t>partes-de-abajo-hombres /tallas-medianas</t>
  </si>
  <si>
    <t>Talla M</t>
  </si>
  <si>
    <t>Pantalón cargo slim fit negro H&amp;M</t>
  </si>
  <si>
    <t>partes-de-abajo-hombres /tallas-grandes</t>
  </si>
  <si>
    <t>Pantalón cargo relaxed fit gris oscuro H&amp;M</t>
  </si>
  <si>
    <t>Pantalón cargo de lona gris oscuro H&amp;M</t>
  </si>
  <si>
    <t>Talla S_2</t>
  </si>
  <si>
    <t>Pantalón cargo de nylon gris oscuro H&amp;M</t>
  </si>
  <si>
    <t>Pantalón cargo slim fit gris oscuro H&amp;M</t>
  </si>
  <si>
    <t>Pantalón cargo loose fit gris oscuro H&amp;M</t>
  </si>
  <si>
    <t>Pantalón cargo ripstop slim fit beige oscuro H&amp;M</t>
  </si>
  <si>
    <t>Pantalón cargo slim fit verde caqui H&amp;M</t>
  </si>
  <si>
    <t>Pantalón slim fit negro H&amp;M</t>
  </si>
  <si>
    <t>Talla XS_29</t>
  </si>
  <si>
    <t>partes-de-arriba-hombres /tallas-pequenas</t>
  </si>
  <si>
    <t>Polo slim fit negro H&amp;M</t>
  </si>
  <si>
    <t>partes-de-arriba-hombres /tallas-medianas</t>
  </si>
  <si>
    <t>Pulóver slim fit negro H&amp;M</t>
  </si>
  <si>
    <t>Pulóver regular fit negro H&amp;M</t>
  </si>
  <si>
    <t>Pulóver loose fit de gran calidad negro H&amp;M</t>
  </si>
  <si>
    <t>Pulóver con cuello V slim fit negro H&amp;M</t>
  </si>
  <si>
    <t>Pulóver loose fit COOLMAX negro H&amp;M</t>
  </si>
  <si>
    <t>Pulóver loose fit negro H&amp;M</t>
  </si>
  <si>
    <t>Pulóver oversized fit negro H&amp;M</t>
  </si>
  <si>
    <t>partes-de-arriba-hombres /tallas-extras</t>
  </si>
  <si>
    <t>partes-de-arriba-hombres /tallas-grandes</t>
  </si>
  <si>
    <t>Pulóver con efecto lavado loose fit negro H&amp;M</t>
  </si>
  <si>
    <t>Pulóver regular fit azul marino H&amp;M</t>
  </si>
  <si>
    <t>Pulóver boxy fit efecto lavado negro H&amp;M</t>
  </si>
  <si>
    <t>Pulóver regular fit gris oscuro jaspeado H&amp;M</t>
  </si>
  <si>
    <t>calzado</t>
  </si>
  <si>
    <t>Sandalias planas de tiras atadas color crema PLT</t>
  </si>
  <si>
    <t>Talla 38</t>
  </si>
  <si>
    <t>Talla 36</t>
  </si>
  <si>
    <t>Talla 40</t>
  </si>
  <si>
    <t>Talla 37</t>
  </si>
  <si>
    <t>Talla 39</t>
  </si>
  <si>
    <t xml:space="preserve">Sandalias de tacón fino negros con detalles de pedreria </t>
  </si>
  <si>
    <t>Sandalias planas con tiras cruzadas negras H&amp;M</t>
  </si>
  <si>
    <t>Talla 10_41</t>
  </si>
  <si>
    <t>Talla 8_39</t>
  </si>
  <si>
    <t>Sandalias planas con tiras cruzadas beige H&amp;M</t>
  </si>
  <si>
    <t>Talla 9_40</t>
  </si>
  <si>
    <t>Sandalias planas con costura negras H&amp;M</t>
  </si>
  <si>
    <t>Talla 5_36</t>
  </si>
  <si>
    <t>Sandalias trenzadas negras efecto piel de cocodrilo H&amp;M</t>
  </si>
  <si>
    <t>Sandalias prácticas beige con detalle de hebilla plateada H&amp;M</t>
  </si>
  <si>
    <t>Sandalias en tendencia y de gran calidad Oliva</t>
  </si>
  <si>
    <t>Talla 3_36</t>
  </si>
  <si>
    <t>Talla 4_37</t>
  </si>
  <si>
    <t>Tacones de punta fina diseño floral de saco</t>
  </si>
  <si>
    <t>Balerinas con strass negras H&amp;M</t>
  </si>
  <si>
    <t>Talla 7_39</t>
  </si>
  <si>
    <t>Adidas SL 72 OG W Edición Exclusiva verde/blanco</t>
  </si>
  <si>
    <t>Talla 7.5_38.5</t>
  </si>
  <si>
    <t>Adidas SL 83 OG W borgoña</t>
  </si>
  <si>
    <t>Balerinas rojo vivo H&amp;M</t>
  </si>
  <si>
    <t>Zapatos debry negros H&amp;M</t>
  </si>
  <si>
    <t>Talla 12_46</t>
  </si>
  <si>
    <t>Zapatos casual leather loafers beige oscuro ZARA</t>
  </si>
  <si>
    <t>Talla 43</t>
  </si>
  <si>
    <t>Zapatos casual leather loafers azul marino ZARA</t>
  </si>
  <si>
    <t>Talla 44</t>
  </si>
  <si>
    <t>Mocasines de vestir bolas negro ZARA</t>
  </si>
  <si>
    <t>Pulóver estampado estilo vintage negro Guns´n Roses H&amp;M</t>
  </si>
  <si>
    <t>Pulóver con motivo estampado azul claro Still Water H&amp;M</t>
  </si>
  <si>
    <t>Pulóver loose fit blanco Red Hot Chili Peppers H&amp;M</t>
  </si>
  <si>
    <t>Pulóver con estampado regular fit blanco Wasted Potential H&amp;M</t>
  </si>
  <si>
    <t>Pulóver con motivo estampado loose fit blanco Snoopy H&amp;M</t>
  </si>
  <si>
    <t>Pulóver loose fit blanco Reservoir Dogs H&amp;M</t>
  </si>
  <si>
    <t>Pulóver slim fit blanco H&amp;M</t>
  </si>
  <si>
    <t>Pulóver con motivo estampado loose fit negro New York H&amp;M</t>
  </si>
  <si>
    <t>Pulóver con motivo estampado negro United H&amp;M</t>
  </si>
  <si>
    <t>Pulóver oversized fit negro Iron Maiden H&amp;M</t>
  </si>
  <si>
    <t>Pulóver loose fit negro Kodak H&amp;M</t>
  </si>
  <si>
    <t>Pulóver con motivo estampado blanco Small Talk H&amp;M</t>
  </si>
  <si>
    <t>Pulóver oversized rojo Dimes SQ H&amp;M</t>
  </si>
  <si>
    <t>Pulóver con motivo estampado negro vintage Rodeo Sunset H&amp;M</t>
  </si>
  <si>
    <t>Pulóver oversized fit negra The Notorious B.I.G H&amp;M</t>
  </si>
  <si>
    <t>Pulóver con motivo estampado loose fit negro NY H&amp;M</t>
  </si>
  <si>
    <t>Pulóver loose fit negro Fender H&amp;M</t>
  </si>
  <si>
    <t>Camisa slim fit blanca H&amp;M</t>
  </si>
  <si>
    <t>Camisa slim fit easy-iron blanca H&amp;M</t>
  </si>
  <si>
    <t>Camisa oversized de algodón blanca H&amp;M</t>
  </si>
  <si>
    <t>Camisa de algodón slim fit blanca H&amp;M</t>
  </si>
  <si>
    <t>Camisa blanca de hombre H&amp;M</t>
  </si>
  <si>
    <t>Camisa slim fit negra H&amp;M</t>
  </si>
  <si>
    <t>Camisa slim fit easy-iron negra H&amp;M</t>
  </si>
  <si>
    <t>Camisa de algodón slim fit negra H&amp;M</t>
  </si>
  <si>
    <t>Camisa stretch slim fit negra H&amp;M</t>
  </si>
  <si>
    <t>Camisa de franela regular fit gris claro marmoleado H&amp;M</t>
  </si>
  <si>
    <t>Camisa slim fit easy-iron azul claro H&amp;M</t>
  </si>
  <si>
    <t>Camisa muscle fit negra estampado rosa de flores H&amp;M</t>
  </si>
  <si>
    <t>Bermudas cargo loose fit negras H&amp;M</t>
  </si>
  <si>
    <t>Shorts buzo regular fit gris claro jaspeado gran calidad H&amp;M</t>
  </si>
  <si>
    <t>Shorts buzo regular fit gris aspeado H&amp;M</t>
  </si>
  <si>
    <t>Shorts buzo regular fit beige claro H&amp;M</t>
  </si>
  <si>
    <t>Shorts buzo regular fit negro H&amp;M</t>
  </si>
  <si>
    <t>Camiseta sin mangas acanalada slim fit blanca H&amp;M</t>
  </si>
  <si>
    <t>Camiseta sin mangas acanalada slim fit negra H&amp;M</t>
  </si>
  <si>
    <t>Camisera sin mangas acanalada slim fit marrón claro H&amp;M</t>
  </si>
  <si>
    <t>Camiseta sin mangas acanalada algodón marrón claro H&amp;M</t>
  </si>
  <si>
    <t>Camiseta sin mangas acanalada slim fit crema H&amp;M</t>
  </si>
  <si>
    <t>Camiseta sin mangas acanalada slim fit gris jaspeado H&amp;M</t>
  </si>
  <si>
    <t>Camiseta sin mangas acanalada slim negra gran calidad H&amp;M</t>
  </si>
  <si>
    <t>Camiseta sin mangas acanalada slim fit crema gran calidad H&amp;M</t>
  </si>
  <si>
    <t>Camiseta sin mangas acanalada slim fit beige oscuro H&amp;M</t>
  </si>
  <si>
    <t>Pulóver loose fit blanco Gentlemen Syndrome H&amp;M</t>
  </si>
  <si>
    <t>Pulóver loose fit azul marino Kodak H&amp;M</t>
  </si>
  <si>
    <t>Pulóver loose fit blanco Sevilla H&amp;M</t>
  </si>
  <si>
    <t>Pulóver loose fit blanco George´s Gas H&amp;M</t>
  </si>
  <si>
    <t>Pulóver loose fit blanco Forest of the Deep H&amp;M</t>
  </si>
  <si>
    <t>Pulóver loose fit blanco Formula 1 H&amp;M</t>
  </si>
  <si>
    <t>Pulóver loose fit blanco Playa de Alcudia H&amp;M</t>
  </si>
  <si>
    <t>Pulóver loose fit negro Beverly Hills H&amp;M</t>
  </si>
  <si>
    <t>Pulóver oversized negro de gran calidad H&amp;M</t>
  </si>
  <si>
    <t>Pulóver oversized fit negro Nas H&amp;M</t>
  </si>
  <si>
    <t>Pulóver loose fit negro Carbonara H&amp;M</t>
  </si>
  <si>
    <t>Shorts buzo rosa empolvado H&amp;M</t>
  </si>
  <si>
    <t>partes-de-abajo /tallas-medianas</t>
  </si>
  <si>
    <t>Shorts buzo gris claro jaspeado H&amp;M</t>
  </si>
  <si>
    <t>Shorts de algodón azul claro H&amp;M</t>
  </si>
  <si>
    <t>Shorts buzo beige claro H&amp;M</t>
  </si>
  <si>
    <t>Shorts buzo algodón lavado gris H&amp;M</t>
  </si>
  <si>
    <t>Shorts buzo marrón H&amp;M</t>
  </si>
  <si>
    <t>Shorts de lagodón pull-on azul claro rayado H&amp;M</t>
  </si>
  <si>
    <t>Shorts en mezcla de lino negro H&amp;M</t>
  </si>
  <si>
    <t>Shorts de viscosa con frunces beige claro H&amp;M</t>
  </si>
  <si>
    <t>Shorts corto de talle alto con bordado inglés rosa durazno H&amp;M</t>
  </si>
  <si>
    <t>Shorts en mezcla de lino marrón rayas H&amp;M</t>
  </si>
  <si>
    <t>Shorts de sirsaca pull-on rojo cuadrillé H&amp;M</t>
  </si>
  <si>
    <t>Shorts estampado con cordón de ajuste azul marino conchas H&amp;M</t>
  </si>
  <si>
    <t>Shorts de playa efecto arrugado blanco estampado paisley H&amp;M</t>
  </si>
  <si>
    <t>Shorts estampado con cordón de ajuste negro y marrón H&amp;M</t>
  </si>
  <si>
    <t>Shorts en mezcla de lino azul marino H&amp;M</t>
  </si>
  <si>
    <t>Shorts de punto efecto arrugado marrón oscuro H&amp;M</t>
  </si>
  <si>
    <t>Shorts buzo de algodón con cordón de ajuste rosa pálido H&amp;M</t>
  </si>
  <si>
    <t>Shorts buzo algodón lavado gris azulado H&amp;M</t>
  </si>
  <si>
    <t>Shorts de viscosa con frunces negro H&amp;M</t>
  </si>
  <si>
    <t>Minifalda pantalón sastre negro H&amp;M</t>
  </si>
  <si>
    <t>Talla XS_0</t>
  </si>
  <si>
    <t>Talla S_4</t>
  </si>
  <si>
    <t>Shorts de tiro alto con bordado inglés negro H&amp;M</t>
  </si>
  <si>
    <t>Talla XXS</t>
  </si>
  <si>
    <t>Shorts buzo de algodón lavado crema H&amp;M</t>
  </si>
  <si>
    <t>Shorts buzo negro H&amp;M</t>
  </si>
  <si>
    <t>Shorts buzo azul marino H&amp;M</t>
  </si>
  <si>
    <t>Shorts de algodón gris claro jaspeado H&amp;M</t>
  </si>
  <si>
    <t>Shorts con efecto arrugado con cordón azul marino H&amp;M</t>
  </si>
  <si>
    <t>Shorts buzo burdeos H&amp;M</t>
  </si>
  <si>
    <t>Bermuda de sarga verde claro H&amp;M</t>
  </si>
  <si>
    <t>Shorts en mezcla de lino blanco raya diplomática H&amp;M</t>
  </si>
  <si>
    <t>Shorts en mezcla de lino blanco verde con rayas H&amp;M</t>
  </si>
  <si>
    <t>Shorts buzo de algodón lavado beige grisáceo claro H&amp;M</t>
  </si>
  <si>
    <t>Shorts de lino con cordón de ajuste negro H&amp;M</t>
  </si>
  <si>
    <t>Shorts de tiro alto con detalle de encaje amarillo H&amp;M</t>
  </si>
  <si>
    <t>Minifalda cargo azul denim H&amp;M</t>
  </si>
  <si>
    <t>Talla L_10</t>
  </si>
  <si>
    <t>Minifalda acampanada negra H&amp;M</t>
  </si>
  <si>
    <t>Minifalda con zipper y botón nergra H&amp;M</t>
  </si>
  <si>
    <t>Minifalda con zipper y botón beige H&amp;M</t>
  </si>
  <si>
    <t>Talla M_8</t>
  </si>
  <si>
    <t>Minifalda pantalón en mezcla de lino blanca H&amp;M</t>
  </si>
  <si>
    <t xml:space="preserve">Minifalda asimétrica verde </t>
  </si>
  <si>
    <t>Minifalda azul denim claro H&amp;M</t>
  </si>
  <si>
    <t>Talla M_6</t>
  </si>
  <si>
    <t>Falda pantalón cruzada azul denim claro H&amp;M</t>
  </si>
  <si>
    <t>Minifalda denim rojo vino H&amp;M</t>
  </si>
  <si>
    <t>Falda escalonada de algodón negro estampado H&amp;M</t>
  </si>
  <si>
    <t>Minifalda denim blanca H&amp;M</t>
  </si>
  <si>
    <t>Minifalda pantalón sastre beige H&amp;M</t>
  </si>
  <si>
    <t>Minifalda de vuelos blanca H&amp;M</t>
  </si>
  <si>
    <t>Minifalda sastre negra H&amp;M</t>
  </si>
  <si>
    <t>Minifalda revestida marrón H&amp;M</t>
  </si>
  <si>
    <t>Falda de algodón con vuelo blanca H&amp;M</t>
  </si>
  <si>
    <t>MInifalda evasé crema H&amp;M</t>
  </si>
  <si>
    <t>Minifalda de vuelos amarillo claro estamapdo paisley H&amp;M</t>
  </si>
  <si>
    <t>Shorts relaxed fit negro gran calidad H&amp;M</t>
  </si>
  <si>
    <t>Shorts buzo regular fit negro gran calidad H&amp;M</t>
  </si>
  <si>
    <t>partes-de-abajo-hombres /tallas-extras</t>
  </si>
  <si>
    <t>LTA2233</t>
  </si>
  <si>
    <t>tops /tallas-grandes</t>
  </si>
  <si>
    <t>Pulóver de microfibra azul marino H&amp;M</t>
  </si>
  <si>
    <t>LTA2234</t>
  </si>
  <si>
    <t>Top con lazo negro H&amp;M</t>
  </si>
  <si>
    <t>LTA2235</t>
  </si>
  <si>
    <t>Tops /tallas-medianas</t>
  </si>
  <si>
    <t>Pulóver con motivo de texto marrón oscuro/ Atelier H&amp;M</t>
  </si>
  <si>
    <t>LTA2236</t>
  </si>
  <si>
    <t>Tops /tallas-pequenas</t>
  </si>
  <si>
    <t>LTA2237</t>
  </si>
  <si>
    <t>Pulóver de mujer oversized de algodón negro de gran calidad H&amp;M</t>
  </si>
  <si>
    <t>LTA2238</t>
  </si>
  <si>
    <t>Pulóver entallado de microfibra rosa claro H&amp;M</t>
  </si>
  <si>
    <t>LTA2239</t>
  </si>
  <si>
    <t>Pulóver oversized crema Rodeo H&amp;M</t>
  </si>
  <si>
    <t>LTA2240</t>
  </si>
  <si>
    <t>Pulóver blanco Café Poésie H&amp;M</t>
  </si>
  <si>
    <t>LTA2242</t>
  </si>
  <si>
    <t>Pulóver blanco Fiori letras negras H&amp;M</t>
  </si>
  <si>
    <t>LTA2243</t>
  </si>
  <si>
    <t>Pulóver con estampado blanco/tomates H&amp;M</t>
  </si>
  <si>
    <t>LTA2244</t>
  </si>
  <si>
    <t>Pulóver blanco La Poire H&amp;M</t>
  </si>
  <si>
    <t>LTA2245</t>
  </si>
  <si>
    <t>Pulóver oversized blanco Oui H&amp;M</t>
  </si>
  <si>
    <t>LTA2246</t>
  </si>
  <si>
    <t>Pulóver oversized gris claro jaspeado Saint-Tropez H&amp;M</t>
  </si>
  <si>
    <t>LTA2247</t>
  </si>
  <si>
    <t>Pulóver azul claro Love con flores Primark</t>
  </si>
  <si>
    <t>LTA2251</t>
  </si>
  <si>
    <t>Pulóver oversized blanco Pacha H&amp;M</t>
  </si>
  <si>
    <t>LTA2253</t>
  </si>
  <si>
    <t>Pulóver gris oscuro 21 H&amp;M</t>
  </si>
  <si>
    <t>LTA2254</t>
  </si>
  <si>
    <t>Pulóver oversized azul vivo Fleuri H&amp;M</t>
  </si>
  <si>
    <t>LTA2255</t>
  </si>
  <si>
    <t>Pulover blanco Beach Cafe H&amp;M</t>
  </si>
  <si>
    <t>LTA2256</t>
  </si>
  <si>
    <t>Tops /tallas-extras</t>
  </si>
  <si>
    <t>Pulóver oversized blanco Los Angeles</t>
  </si>
  <si>
    <t>LTA2257</t>
  </si>
  <si>
    <t>Pulóver blanco Paris H&amp;M</t>
  </si>
  <si>
    <t>LTA2258</t>
  </si>
  <si>
    <t>Pulóver blanco Atelier Paris H&amp;M</t>
  </si>
  <si>
    <t>LTA2259</t>
  </si>
  <si>
    <t>Pulóver entallado de algodón blanco de gran calidad H&amp;M</t>
  </si>
  <si>
    <t>Pulóver de microfibra marrón empolvado H&amp;M</t>
  </si>
  <si>
    <t>Pulóver entallado rosa empolvado H&amp;M</t>
  </si>
  <si>
    <t>Pulóver azul Riviera Italiana H&amp;M</t>
  </si>
  <si>
    <t>Pulóver entallado negro H&amp;M</t>
  </si>
  <si>
    <t>Pulóver acanalado negro Patisserie H&amp;M</t>
  </si>
  <si>
    <t>Pulóver de algodón gris oscuro H&amp;M</t>
  </si>
  <si>
    <t>Pulóver de algodón marrón oscuro H&amp;M</t>
  </si>
  <si>
    <t>Pulóver de algdón negro H&amp;M</t>
  </si>
  <si>
    <t>Pulóver entallado beige grsácep oscuro H&amp;M</t>
  </si>
  <si>
    <t>Pulóver básico negro H&amp;M</t>
  </si>
  <si>
    <t>Pulóver entallado acanalado rosa empolvado H&amp;M</t>
  </si>
  <si>
    <t>Pulóver de algodón topo oscuro H&amp;M</t>
  </si>
  <si>
    <t>Pulóver deportivo DryMove blanco H&amp;M</t>
  </si>
  <si>
    <t>Pulóver algodón burdeos H&amp;M</t>
  </si>
  <si>
    <t>Top con escote cuadrado negro H&amp;M</t>
  </si>
  <si>
    <t>Pulóver oversized rosa empolvado claro Ma Chérie H&amp;M</t>
  </si>
  <si>
    <t>Pulóver de algodón beige grisáceo H&amp;M</t>
  </si>
  <si>
    <t>Pulóver de algodón blanco H&amp;M</t>
  </si>
  <si>
    <t>Pulóver entallado beige claro H&amp;M</t>
  </si>
  <si>
    <t>Pulóver acanalado negro H&amp;M</t>
  </si>
  <si>
    <t>Pulóver de microfibra marrón oscuro H&amp;M</t>
  </si>
  <si>
    <t>Pulóver de algodón negro H&amp;M</t>
  </si>
  <si>
    <t>Pulóver de algodón negro grisáceo H&amp;M</t>
  </si>
  <si>
    <t>Pulóver de microfibra azul grisáceo H&amp;M</t>
  </si>
  <si>
    <t>Top sin mangas de microfibra blanco H&amp;M</t>
  </si>
  <si>
    <t>Top sin mangas de microfibra topo oscuro H&amp;M</t>
  </si>
  <si>
    <t>Pulóver entallado de microfibra marrón oscuro H&amp;M</t>
  </si>
  <si>
    <t>Top de un hombro beige claro H&amp;M</t>
  </si>
  <si>
    <t>Pulóver acanalado crema H&amp;M</t>
  </si>
  <si>
    <t>Top drapeado verde caqui oscuro H&amp;M</t>
  </si>
  <si>
    <t>Pulóver de algodón gran calidad topo oscuro H&amp;M</t>
  </si>
  <si>
    <t>Pulóver de algodón gran calidad gris oscuro H&amp;M</t>
  </si>
  <si>
    <t>Gilet corto negro H&amp;M</t>
  </si>
  <si>
    <t>Top off the shoulder de punto acanalado marrón H&amp;M</t>
  </si>
  <si>
    <t>Gilet interlock marrón H&amp;M</t>
  </si>
  <si>
    <t>Pulóver de mujer oversized negro H&amp;M</t>
  </si>
  <si>
    <t>Pulóver oversized de gran calidad gris oscuro H&amp;M</t>
  </si>
  <si>
    <t>Pulóver entallado acanalado negro H&amp;M</t>
  </si>
  <si>
    <t>Pulóver entallado de microfibra beige claro H&amp;M</t>
  </si>
  <si>
    <t>Pulóver básico negro SHEIN</t>
  </si>
  <si>
    <t>Pulóver entallado de microfibra blanco H&amp;M</t>
  </si>
  <si>
    <t>Pulóver corto negro H&amp;M</t>
  </si>
  <si>
    <t>Pulóver básico verde salvia H&amp;M</t>
  </si>
  <si>
    <t>Pulóver entallado blanco H&amp;M</t>
  </si>
  <si>
    <t>Pulóver ajustado marrón animal print H&amp;M</t>
  </si>
  <si>
    <t>Pulóver oversized de gran calidad negro H&amp;M</t>
  </si>
  <si>
    <t>Pulóver de algodón de gran calidad gris claro azulado H&amp;M</t>
  </si>
  <si>
    <t>Pulóver acanalado blanco cuello recto H&amp;M</t>
  </si>
  <si>
    <t>Pulóver acanalado beige claro jaspeado H&amp;M</t>
  </si>
  <si>
    <t>Pantalón cropped de algodón regular fit marrón oscuro H&amp;M</t>
  </si>
  <si>
    <t>Pantalón cropped de algodón regular fit beige claro H&amp;M</t>
  </si>
  <si>
    <t>Pantalón de sarga slim fit azul marino H&amp;M</t>
  </si>
  <si>
    <t>Pantalón de sarga slim fit beige claro H&amp;M</t>
  </si>
  <si>
    <t>Pantalón de traje skinny girs oscuro H&amp;M</t>
  </si>
  <si>
    <t>Talla L_36</t>
  </si>
  <si>
    <t>Talla M_34</t>
  </si>
  <si>
    <t>Pantalón de traje slim fit marrón H&amp;M</t>
  </si>
  <si>
    <t>Talla S_32</t>
  </si>
  <si>
    <t>Pantalón de traje slim fit beige H&amp;M</t>
  </si>
  <si>
    <t>Talla S_30</t>
  </si>
  <si>
    <t>Botas safari marrón H&amp;M</t>
  </si>
  <si>
    <t>Talla 41</t>
  </si>
  <si>
    <t>Talla 42</t>
  </si>
  <si>
    <t>bolsos</t>
  </si>
  <si>
    <t>Bolso de hombre cruzado negro H&amp;M</t>
  </si>
  <si>
    <t>Talla mediano</t>
  </si>
  <si>
    <t>Bolso crossbody negro H&amp;M</t>
  </si>
  <si>
    <t>bolsos-mujer</t>
  </si>
  <si>
    <t>Bolso cruzado con correa trenzada negra H&amp;M</t>
  </si>
  <si>
    <t>ropa-interior-mujer /tallas-grandes</t>
  </si>
  <si>
    <t>Pijama de pantalón largo de algodón negro Victoria´s Secret</t>
  </si>
  <si>
    <t>accesorios</t>
  </si>
  <si>
    <t xml:space="preserve">Cinturón de cuero Woodland marrón oscuro </t>
  </si>
  <si>
    <t>Talla S/M</t>
  </si>
  <si>
    <t>BU06795</t>
  </si>
  <si>
    <t>Mochila de lana sintética teddy</t>
  </si>
  <si>
    <t>Talla pequeno</t>
  </si>
  <si>
    <t>BU06801</t>
  </si>
  <si>
    <t>Crossbodybag Denim</t>
  </si>
  <si>
    <t>Polo slim fit azul marino H&amp;M</t>
  </si>
  <si>
    <t>Pulóver loose fit blanco de gran calidad H&amp;M</t>
  </si>
  <si>
    <t>Pulóver regular fit blanco H&amp;M</t>
  </si>
  <si>
    <t>Shorts running DryMove azul marino H&amp;M</t>
  </si>
  <si>
    <t>Shorts running DryMove negro H&amp;M</t>
  </si>
  <si>
    <t>Shorts de baño negro H&amp;M</t>
  </si>
  <si>
    <t>Minifalda cargo gris denim oscuro H&amp;M</t>
  </si>
  <si>
    <t>Falda pantalón cruzada crema con rayas H&amp;M</t>
  </si>
  <si>
    <t>Falda pantalón burdeos H&amp;M</t>
  </si>
  <si>
    <t>Minifalda revestida crema H&amp;M</t>
  </si>
  <si>
    <t>Falda midi animal print H&amp;M</t>
  </si>
  <si>
    <t>Falda transparente en tejido arrugado negra H&amp;M</t>
  </si>
  <si>
    <t>vestidos /tallas-grandes</t>
  </si>
  <si>
    <t>Vestido en mezcla de lino beige con botones</t>
  </si>
  <si>
    <t>vestidos /tallas-medianas</t>
  </si>
  <si>
    <t>Vestido túnica de viscosa beige animal print H&amp;M</t>
  </si>
  <si>
    <t>Blusa de mangas globo con incersiones de encaje beige claro H&amp;M</t>
  </si>
  <si>
    <t>Camisa denim oversized crema H&amp;M</t>
  </si>
  <si>
    <t>Camisa con escote V satinada negra H&amp;M</t>
  </si>
  <si>
    <t>Gilet de punto con textura marrón oscuro animal print H&amp;M</t>
  </si>
  <si>
    <t>vestidos /tallas-pequenas</t>
  </si>
  <si>
    <t>Vestido midi corrugado de escote profundo y abertura color crema PLT</t>
  </si>
  <si>
    <t>Blusa de mangas globos animal print con lazo</t>
  </si>
  <si>
    <t>Blusa de mangas globos rojo con lazo Forever 21</t>
  </si>
  <si>
    <t>Camisa resort estampada negro floral H&amp;M</t>
  </si>
  <si>
    <t>Camisa en mezcla de algodón blanca H&amp;M</t>
  </si>
  <si>
    <t>Top con mangas globo blanco H&amp;M</t>
  </si>
  <si>
    <t>Top de microfibra con cuello alto azul grisáceo H&amp;M</t>
  </si>
  <si>
    <t>Blusa entallada negra con pinzas H&amp;M</t>
  </si>
  <si>
    <t>Blusa entallada blanco con pinzas H&amp;M</t>
  </si>
  <si>
    <t>YILHM2111</t>
  </si>
  <si>
    <t>Top de jersey texturizado azul brilante H&amp;M</t>
  </si>
  <si>
    <t>Pulóver entallado de microfibra azul marino H&amp;M</t>
  </si>
  <si>
    <t>Pulóver acanalada con cuello bote blanco H&amp;M</t>
  </si>
  <si>
    <t>Pulóver de mujer de algodón negro H&amp;M</t>
  </si>
  <si>
    <t>Top off the shoulder de punto acanalado rojo vivo H&amp;M</t>
  </si>
  <si>
    <t>Camisa oversized de popelina azul con rayas H&amp;M</t>
  </si>
  <si>
    <t>Camisa de algodón blanca H&amp;M</t>
  </si>
  <si>
    <t>Pulóver acanalado beige claro H&amp;M</t>
  </si>
  <si>
    <t>Camiseta de mujer acanalada blanca H&amp;M</t>
  </si>
  <si>
    <t>Top con punta de textura azul claro H&amp;M</t>
  </si>
  <si>
    <t>Top drapeado blanco H&amp;M</t>
  </si>
  <si>
    <t>Body de microfibra con mangas japonesas negro H&amp;M</t>
  </si>
  <si>
    <t>Top con hombros descubiertos azul claro H&amp;M</t>
  </si>
  <si>
    <t>Pulóver de mujer de algodón blanco H&amp;M</t>
  </si>
  <si>
    <t>Pulóver con detalles decorativos blanco H&amp;M</t>
  </si>
  <si>
    <t>Camisa en popelina de algodón azul claro H&amp;M</t>
  </si>
  <si>
    <t>Top fruncido burdeos H&amp;M</t>
  </si>
  <si>
    <t>Blusa transparente burdeos H&amp;M</t>
  </si>
  <si>
    <t>Camisa denim blanca H&amp;M</t>
  </si>
  <si>
    <t>RTH001</t>
  </si>
  <si>
    <t>bolsos-hombre</t>
  </si>
  <si>
    <t xml:space="preserve">Bolso de viaje táctico gris verdoso Cuidado con el Perro </t>
  </si>
  <si>
    <t>RTH002</t>
  </si>
  <si>
    <t xml:space="preserve">Bolso de viaje gris y negro Cuidado con el Perro </t>
  </si>
  <si>
    <t>RTH003</t>
  </si>
  <si>
    <t xml:space="preserve">Bolso de viaje Uncertain gris Cuidado con el Perro </t>
  </si>
  <si>
    <t>Camisa de mujer oversized de algodón blanca H&amp;M</t>
  </si>
  <si>
    <t>Camisa regular fit easy-iron balnca H&amp;M</t>
  </si>
  <si>
    <t>Camisa slim fit de algodón negra H&amp;M</t>
  </si>
  <si>
    <t>Shorts corto rojo vivo H&amp;M</t>
  </si>
  <si>
    <t>Enguatada de microfibra color topo H&amp;M</t>
  </si>
  <si>
    <t>Blusa con escote V crema con rayas negras H&amp;M</t>
  </si>
  <si>
    <t>Blusa con mangas globo azul vivo estampado H&amp;M</t>
  </si>
  <si>
    <t>Enguatada cuello barco de algodón gris oscuro H&amp;M</t>
  </si>
  <si>
    <t>Top off the shoulder marrón oscuro H&amp;M</t>
  </si>
  <si>
    <t>Vestido evasé muselina negro H&amp;M</t>
  </si>
  <si>
    <t>Tops /tallas-grandes</t>
  </si>
  <si>
    <t>Blusa de manga elegante en vuelos con ribete en contraste color Morado</t>
  </si>
  <si>
    <t>Blusa de manga elegante en vuelos con ribete en contraste color rosa empolvado</t>
  </si>
  <si>
    <t xml:space="preserve">Blusa de manga corta verde olivo cuello V H&amp;M </t>
  </si>
  <si>
    <t>Blusa en muselina de algodón verde caqui H&amp;M</t>
  </si>
  <si>
    <t>Túnica con vuelos amarillo pálido H&amp;M</t>
  </si>
  <si>
    <t>Blusa de gasa con lazada amarillo pálido H&amp;M</t>
  </si>
  <si>
    <t>Blusa en tejido jacquard rosa empolvado H&amp;M</t>
  </si>
  <si>
    <t>Camisa desmangada de algodón rosa fucsia</t>
  </si>
  <si>
    <t>Kimono Floral</t>
  </si>
  <si>
    <t>Blusa con mangas mariposa crema floral H&amp;M</t>
  </si>
  <si>
    <t>Blusa con escote de vuelos con cordón de ajuste blanca H&amp;M</t>
  </si>
  <si>
    <t>Top de tirantes en microfibra beige oscuro H&amp;M</t>
  </si>
  <si>
    <t>Top sin mangas gris pardo de cuello rectangular H&amp;M</t>
  </si>
  <si>
    <t>Top de tirantes en microfibra blanco H&amp;M</t>
  </si>
  <si>
    <t>Blusa con ribete de vuelos rosa H&amp;M</t>
  </si>
  <si>
    <t>Blusa en mezcla de lino roja H&amp;M</t>
  </si>
  <si>
    <t>Gilet interlock burdeos H&amp;M</t>
  </si>
  <si>
    <t>Blusa con escote en V blanca con rayas H&amp;M</t>
  </si>
  <si>
    <t>Shorts de mezclilla azul  H&amp;M</t>
  </si>
  <si>
    <t>Shorts denim azul H&amp;M</t>
  </si>
  <si>
    <t>Shorts denim skinny high azul denim claro H&amp;M</t>
  </si>
  <si>
    <t>Bermuda regular azul denim claro H&amp;M</t>
  </si>
  <si>
    <t>Shorts altos azul denim claro H&amp;M</t>
  </si>
  <si>
    <t>Polo de algodón slim azul marino H&amp;M</t>
  </si>
  <si>
    <t>Polo de algodón slim azul claro H&amp;M</t>
  </si>
  <si>
    <t>Polo de algodón slim verde oscuro H&amp;M</t>
  </si>
  <si>
    <t>Pantalón sastre slim fit beige H&amp;M</t>
  </si>
  <si>
    <t xml:space="preserve">partes-de-abajo-hombres /tallas-grandesq </t>
  </si>
  <si>
    <t>calzado-hombre</t>
  </si>
  <si>
    <t>Tenis verde caqui oscuro H&amp;M</t>
  </si>
  <si>
    <t>Gorra jockey en sarga de algodón burdeo I´m not in the mood H&amp;M</t>
  </si>
  <si>
    <t>Talla única</t>
  </si>
  <si>
    <t>Gorra jockey en sarga de algodón verde A H&amp;M</t>
  </si>
  <si>
    <t>Cinturón negro H&amp;M</t>
  </si>
  <si>
    <t>Vestido negro con cuello alto y falda tipo puff ball PLT</t>
  </si>
  <si>
    <t>YILHM0345</t>
  </si>
  <si>
    <t>Vestido rojo largo con escote profundo y diseño calado con adorno metálico</t>
  </si>
  <si>
    <t>YILHM0344</t>
  </si>
  <si>
    <t>YILHM0472</t>
  </si>
  <si>
    <t>Vestido negro largo con escote profundo y diseño calado con adorno metálico</t>
  </si>
  <si>
    <t>YILHM1064</t>
  </si>
  <si>
    <t>Vestido beige con mangas globo PLT</t>
  </si>
  <si>
    <t>BU0592</t>
  </si>
  <si>
    <t>Vestido violeta con detalle de botones Forever 21</t>
  </si>
  <si>
    <t>YILHM1011</t>
  </si>
  <si>
    <t>Maxi vestido negro texturizado de cuello healter PLT</t>
  </si>
  <si>
    <t>Vestido strapless negro corrugado PLT</t>
  </si>
  <si>
    <t>LTA205</t>
  </si>
  <si>
    <t>Vestido strapless terracota con abertura al lado PLT</t>
  </si>
  <si>
    <t>Vestido drapeado beige claro H&amp;M</t>
  </si>
  <si>
    <t>Vestido bodycon con mangas japonesas negro H&amp;M</t>
  </si>
  <si>
    <t>Vestido con detalle de nudo verde oscuro H&amp;M</t>
  </si>
  <si>
    <t>Vestido pulóver con hombreras blanco H&amp;M</t>
  </si>
  <si>
    <t>Vestido de tirantes con cuerpo panal de abeja rojo estampado H&amp;M</t>
  </si>
  <si>
    <t>Vestido túnica con botones beige claro floral H&amp;M</t>
  </si>
  <si>
    <t>Vestido de manga corta marrón oscuro H&amp;M</t>
  </si>
  <si>
    <t>Vestido con cordón de ajuste negro H&amp;M</t>
  </si>
  <si>
    <t>Vestido liso de sarga negro H&amp;M</t>
  </si>
  <si>
    <t>Vestido drapeado burdeos H&amp;M</t>
  </si>
  <si>
    <t>Vestido con escote V negro H&amp;M</t>
  </si>
  <si>
    <t>Vestido polo azul marino H&amp;M</t>
  </si>
  <si>
    <t>Vestido blanco de punto súper suave con cuello alto y corte maxi PLT</t>
  </si>
  <si>
    <t>Mocasines de piel vacuno marrón ZARA</t>
  </si>
  <si>
    <t>Mocasines de piel azul marino ZARA</t>
  </si>
  <si>
    <t>Mocasines negros de vestir ZARA</t>
  </si>
  <si>
    <t>Mocasines de vestir marrón oscuro PULL&amp;BEAR</t>
  </si>
  <si>
    <t>Tenis de cuero gris oscuro ZARA</t>
  </si>
  <si>
    <t>Sandalias prácticas negro grisáceo PULL&amp;BEAR</t>
  </si>
  <si>
    <t>Sandalias prácticas beige BERSHKA</t>
  </si>
  <si>
    <t>Sandalias prácticas con plataforma negras BERSHKA</t>
  </si>
  <si>
    <t>Sandalias planas con tiras cruzadas negras PULL&amp;BEAR</t>
  </si>
  <si>
    <t xml:space="preserve">Sandalias de tiras cruzadas negras Lefties </t>
  </si>
  <si>
    <t>Sandalias planas con adorno dorado marino negras ZARA</t>
  </si>
  <si>
    <t>Sandalias de tacón cuadrado y punta redonda marrón ZARA</t>
  </si>
  <si>
    <t>Sandalias de tacón cuadrado y punta redonda burdeos ZARA</t>
  </si>
  <si>
    <t>Sandalias de tacón de punta fina achalorados negros ZARA</t>
  </si>
  <si>
    <t>Sandalias de tacón con abertura alante achalorados negros ZARSA</t>
  </si>
  <si>
    <t>Sandalias stilettos negros Parfois</t>
  </si>
  <si>
    <t>Bolso de varias divisiones rojo Parfois</t>
  </si>
  <si>
    <t>Sandalias de tacón cuadrado beige oscuro Parfois</t>
  </si>
  <si>
    <t>Bolso con correa de ajuste beige oscuro Parfois</t>
  </si>
  <si>
    <t>Talla grande</t>
  </si>
  <si>
    <t>Bolso bandolera con correa ajustable beige oscuro BERSHKA</t>
  </si>
  <si>
    <t>Bolso neceser con zipper negro PULL&amp;BEAR</t>
  </si>
  <si>
    <t>Bolso neceser negro PULL&amp;BEAR</t>
  </si>
  <si>
    <t>Cinto de cuero negro con chapa en plata vieja PULL&amp;BEAR</t>
  </si>
  <si>
    <t>Talla XXL_42</t>
  </si>
  <si>
    <t>Cinto de cuero negro con chapa cuadrada y negra PULL&amp;BEAR</t>
  </si>
  <si>
    <t>Talla XL_38</t>
  </si>
  <si>
    <t>Cinto de cuero marrón con hebilla en plata vieja SPRINGFIELD</t>
  </si>
  <si>
    <t>Cinto con detalle de  costura marrón SPRINGFIELD</t>
  </si>
  <si>
    <t>Cinto de cuero marrón con hebilla plateada SPRINGFIELD</t>
  </si>
  <si>
    <t xml:space="preserve">Gorra mxnich amarilla y azul </t>
  </si>
  <si>
    <t>Talla M/L</t>
  </si>
  <si>
    <t>Gorra de pana verde oscuro LA NEW ERA</t>
  </si>
  <si>
    <t>Talla unitalla</t>
  </si>
  <si>
    <t>Gorra de pana verde bosque LA NEW ERA</t>
  </si>
  <si>
    <t>Gorra aterciopelada verde caqui LA NEW ERA</t>
  </si>
  <si>
    <t>Gorra beige oscuro New York 1991 PULL&amp;BEAR</t>
  </si>
  <si>
    <t>Gorra crema con diseño jaspeado BERSHKA</t>
  </si>
  <si>
    <t>Gorra de pana beige y roja B BERSHKA</t>
  </si>
  <si>
    <t>Camisa relaxed fit texturizada verde caqui Lefties</t>
  </si>
  <si>
    <t>Camisa regular fit de cuello chino azul marino Lefties</t>
  </si>
  <si>
    <t xml:space="preserve">Camisa regular fit de cuello chino azul claro Lefties </t>
  </si>
  <si>
    <t>Partes-de-arriba /tallas-pequenas</t>
  </si>
  <si>
    <t>Camisa de lino azul claro Lefties</t>
  </si>
  <si>
    <t>Camisa regular fit de cuello chino beige claro Lefties</t>
  </si>
  <si>
    <t xml:space="preserve">Camisa regular fit de cuello chino verde salvia Lefties </t>
  </si>
  <si>
    <t>Camisa regular fit de cuello chino rosa empolvado Lefties</t>
  </si>
  <si>
    <t>Camisa relaxed fit texturizada azul Lefties</t>
  </si>
  <si>
    <t>Camisa regular fit de cuello chino verde oscuro PULL&amp;BEAR</t>
  </si>
  <si>
    <t>Camisa texturizado rosa empolvado BERSHKA</t>
  </si>
  <si>
    <t>Camisa con textura verde caqui oscuro BERSHKA</t>
  </si>
  <si>
    <t>Camisa resort con bordado estilo crochet blanco y negro ZARA</t>
  </si>
  <si>
    <t>Camisa resort con textura beige y blanco ZARA</t>
  </si>
  <si>
    <t>Polo de algodón beige PULL&amp;BEAR</t>
  </si>
  <si>
    <t>Polo texturizado beige claro SPRINGFIELD</t>
  </si>
  <si>
    <t>Polo texturizado gris PULL&amp;BEAR</t>
  </si>
  <si>
    <t>Polo texturizado verde salvia claro PULL&amp;BEAR</t>
  </si>
  <si>
    <t>Polo acanalado verde caqui ZARA</t>
  </si>
  <si>
    <t>Polo acanalado beige ZARA</t>
  </si>
  <si>
    <t>Polo acanalado blanco ZARA</t>
  </si>
  <si>
    <t>Polo calado verde salvia ZARA</t>
  </si>
  <si>
    <t>Polo con textura verde olivo ZARA</t>
  </si>
  <si>
    <t>Polo acanalado verde olivo ZARA</t>
  </si>
  <si>
    <t>Polo verde ZARA</t>
  </si>
  <si>
    <t>Polo azul marino ZARA</t>
  </si>
  <si>
    <t>Polo calado azul marino ZARA</t>
  </si>
  <si>
    <t>Polo de punto acanalado blanco ZARA</t>
  </si>
  <si>
    <t xml:space="preserve">Polo texturizado verde caqui Lefties </t>
  </si>
  <si>
    <t>Polo texturizado color amarillo mostaza Lefties</t>
  </si>
  <si>
    <t>Polo de algodón con zipper verde caqui Lefties</t>
  </si>
  <si>
    <t>Polo texturizado marrón Lefties</t>
  </si>
  <si>
    <t>Pantalón jogger con cordón de ajuste verde caqui osucro Lefties</t>
  </si>
  <si>
    <t>Pantalón skinny verde olivo oscuro Lefties</t>
  </si>
  <si>
    <t>Pantalón chino relaxed marrón oscuro verdoso Lefites</t>
  </si>
  <si>
    <t xml:space="preserve">Pantalón de vestir ancho negro jaspeado ZARA </t>
  </si>
  <si>
    <t xml:space="preserve">Pantalón negro con cinto con detalle dorado ZARA </t>
  </si>
  <si>
    <t>Pantalón de vestir gris jaspeado ZARA</t>
  </si>
  <si>
    <t>Pantalón negro con cinto rojo ZARA</t>
  </si>
  <si>
    <t>Pantalón de lino azul ZARA</t>
  </si>
  <si>
    <t>Pantalón de vestir con bolsillo azul verdoso oscuro ZARA</t>
  </si>
  <si>
    <t>Pantalón elastizado de vestir amarillo claro con cinto burdeos ZARA</t>
  </si>
  <si>
    <t>Pantalón de vestir beige con cinto negro delgado ZARA</t>
  </si>
  <si>
    <t>Pantaloneta de lino con cordón de ajuste roja ZARA</t>
  </si>
  <si>
    <t>Pantaloneta de vestir de pata ancha negro jaspeado ZARA</t>
  </si>
  <si>
    <t>Pantalón con pinzas con cinto terracota ZARA</t>
  </si>
  <si>
    <t>Pantalón de lino amarillo mostaza ZARA</t>
  </si>
  <si>
    <t>Falda midi plisada rosa barbie ZARA</t>
  </si>
  <si>
    <t>Vestido desmangado sin costura elastizado marrón ZARA</t>
  </si>
  <si>
    <t>Mono strapless con cinturón con hebillada dorada amarillo mostaza ZARA</t>
  </si>
  <si>
    <t>Vestido espalda descubierta beige Lefties</t>
  </si>
  <si>
    <t>Vestido espalda descubierta verde caqui Lefties</t>
  </si>
  <si>
    <t>partes-de-arriba /tallas-medianas</t>
  </si>
  <si>
    <t>Gilet cruzado asimétrico beige claro H&amp;M</t>
  </si>
  <si>
    <t>Sandalia engomada doble tira burdeos ZARA</t>
  </si>
  <si>
    <t>Sandalia engomada doble tira negras ZARA</t>
  </si>
  <si>
    <t>Bolso bowling beige oscuro H&amp;M</t>
  </si>
  <si>
    <t>Bolso bandolera con hebilla decorativa beige oscuro H&amp;M</t>
  </si>
  <si>
    <t>Bolso shopper con monedero H&amp;M</t>
  </si>
  <si>
    <t>Bolso cruzado de paja beige H&amp;M</t>
  </si>
  <si>
    <t>Trajes de baño /tallas-grandes</t>
  </si>
  <si>
    <t>Traje de baño con relleno negro H&amp;M</t>
  </si>
  <si>
    <t>Trajes de baño /tallas-pequenas</t>
  </si>
  <si>
    <t>Traje de baño estilo trikini negro SHEIN</t>
  </si>
  <si>
    <t>Trajes de baño /tallas-medianas</t>
  </si>
  <si>
    <t>Traje de baño enterizo con fruncido a los lados negro</t>
  </si>
  <si>
    <t xml:space="preserve">Traje de baño de 2 piezas texturizado verde </t>
  </si>
  <si>
    <t>Traje de baño de 2 piezas amarillo claro con flores</t>
  </si>
  <si>
    <t>UB0261</t>
  </si>
  <si>
    <t>Bañador animal print</t>
  </si>
  <si>
    <t>Traje de baño con relleno marrón H&amp;M</t>
  </si>
  <si>
    <t>Top de bikini con relleno blanco H&amp;M</t>
  </si>
  <si>
    <t>Top de bikini acolchado blanco H&amp;M</t>
  </si>
  <si>
    <t>Top de bikini triangular con relleno negro H&amp;M</t>
  </si>
  <si>
    <t>Top de bikini balconette con copas acolchadas azul claro rayado H&amp;M</t>
  </si>
  <si>
    <t>Talla 38D</t>
  </si>
  <si>
    <t>Top de bikini con relleno verde empolvado H&amp;M</t>
  </si>
  <si>
    <t>Top de bikini acolchado negroH&amp;M</t>
  </si>
  <si>
    <t>Talla 36D</t>
  </si>
  <si>
    <t>Traje de baño high leg con relleno verde caqui rayado H&amp;M</t>
  </si>
  <si>
    <t>Traje de baño de tirantes finos con relleno negro H&amp;M</t>
  </si>
  <si>
    <t>Traje de baño cut-out con copas acolchadas marrón oscuro H&amp;M</t>
  </si>
  <si>
    <t>Traje de baño con copa acolchada negra de un solo hombro H&amp;M</t>
  </si>
  <si>
    <t>Traje de baño con relleno azul H&amp;M</t>
  </si>
  <si>
    <t>Traje de baño animal print H&amp;M</t>
  </si>
  <si>
    <t>Traje de baño strapless negro H&amp;M</t>
  </si>
  <si>
    <t>Traje de baño de tirantes finos rojo H&amp;M</t>
  </si>
  <si>
    <t>Traje de baño high leg con relleno negro H&amp;M</t>
  </si>
  <si>
    <t>Top de bikini de triángulo push up azul H&amp;M</t>
  </si>
  <si>
    <t>Top de bikini con nudo negro H&amp;M</t>
  </si>
  <si>
    <t>Top de bikini con aro de carey azul grisáceo H&amp;M</t>
  </si>
  <si>
    <t>Tanga de bikini gris H&amp;M</t>
  </si>
  <si>
    <t>Tanga de bikini bottoms negro H&amp;M</t>
  </si>
  <si>
    <t>Tanga de bikini bottoms brasileño azul claro H&amp;M</t>
  </si>
  <si>
    <t>Blúmer bikini bottoms hihg waist crema H&amp;M</t>
  </si>
  <si>
    <t>Blúmer de bikini cheeky azul grisáceo H&amp;M</t>
  </si>
  <si>
    <t>Tanga de bikini bottoms rojo H&amp;M</t>
  </si>
  <si>
    <t>Lenceria /tallas-grandes</t>
  </si>
  <si>
    <t>Sostén de encaje suave con relleno beige pálido H&amp;M</t>
  </si>
  <si>
    <t>Lenceria /tallas-medianas</t>
  </si>
  <si>
    <t>Sostén con relleno de encaje beige pálido H&amp;M</t>
  </si>
  <si>
    <t>Talla 34B</t>
  </si>
  <si>
    <t>Sostén de copa acolchada beige H&amp;M</t>
  </si>
  <si>
    <t>Talla 34D</t>
  </si>
  <si>
    <t>Sostén suave con relleno seamless negro H&amp;M</t>
  </si>
  <si>
    <t>Short de baño estampado azul claro H&amp;M</t>
  </si>
  <si>
    <t>Short de baño estampado blanco palmeras H&amp;M</t>
  </si>
  <si>
    <t>Short de baño estampado rosa oscuro H&amp;M</t>
  </si>
  <si>
    <t>Shorts de baño azul claro H&amp;M</t>
  </si>
  <si>
    <t>Blúmer estilo brasileño de algodón blanco H&amp;M</t>
  </si>
  <si>
    <t>Blúmer estilo brasileño de algodón negro H&amp;M</t>
  </si>
  <si>
    <t>Blúmer faja medium shape negro H&amp;M</t>
  </si>
  <si>
    <t>Blúmer colaless estilo tanga negro H&amp;M</t>
  </si>
  <si>
    <t>Blúmer estilo tanga de encaje beige H&amp;M</t>
  </si>
  <si>
    <t>Blúmer de microfibra sin costuras negro H&amp;M</t>
  </si>
  <si>
    <t>Blumer estilo brasileño colores variados H&amp;M</t>
  </si>
  <si>
    <t>Blúmer estilo brasileño de microfibra beige claro H&amp;M</t>
  </si>
  <si>
    <t>Blúmer faja high negro H&amp;M</t>
  </si>
  <si>
    <t>Vestidos /tallas-pequenas</t>
  </si>
  <si>
    <t>Vestido acanalado desmangado verde caqui Lefties</t>
  </si>
  <si>
    <t>Vestido /tallas-medianas</t>
  </si>
  <si>
    <t>Vestido acanalado desmangado negro Lefties</t>
  </si>
  <si>
    <t>Vestido de tirantes finos verde oliva ZARA</t>
  </si>
  <si>
    <t xml:space="preserve">Vestido /tallas-pequenas  </t>
  </si>
  <si>
    <t>Vestido elastizado elegante azul marino ZARA</t>
  </si>
  <si>
    <t>Vestidos /hm /tallas-grandes</t>
  </si>
  <si>
    <t>Vestido de tirantes finos marrón PULL&amp;BEAR</t>
  </si>
  <si>
    <t>Vestidos /hm /tallas-medianas</t>
  </si>
  <si>
    <t>Vestido de tirantes finos de algodón burdeos claro PULL&amp;BEAR</t>
  </si>
  <si>
    <t>Vestidos /hm /tallas-pequenas</t>
  </si>
  <si>
    <t>Vestido de tirantes finos de algodón azul claro PULL&amp;BEAR</t>
  </si>
  <si>
    <t>Vestido elastizado fucsia ZARA</t>
  </si>
  <si>
    <t>Vestido de tirantes finos verde caqui STRADIVARIUS</t>
  </si>
  <si>
    <t>hombres /hm /hm /tallas-grandes</t>
  </si>
  <si>
    <t>Short de buzo regular fit beige H&amp;M</t>
  </si>
  <si>
    <t>hombres /hm /hm /tallas-pequenas</t>
  </si>
  <si>
    <t>Bermudas piqué relaxed fit blanco H&amp;M</t>
  </si>
  <si>
    <t>Shorts regular fit burdeos H&amp;M</t>
  </si>
  <si>
    <t>Shorts buzo regular fit beige grisáceo oscuro H&amp;M</t>
  </si>
  <si>
    <t>Shorts buzo regular fit gris claro jaspeado H&amp;M</t>
  </si>
  <si>
    <t>Shorts buzo regular fit gris jaspeado H&amp;M</t>
  </si>
  <si>
    <t>partes-de-abajo-hombres/tallas-grandes</t>
  </si>
  <si>
    <t>Joggers sastre regular fit gris oscuro H&amp;M</t>
  </si>
  <si>
    <t>Joggers sastre regular fit blanco H&amp;M</t>
  </si>
  <si>
    <t>Jeans loose denim gris H&amp;M</t>
  </si>
  <si>
    <t>Talla L_36x32</t>
  </si>
  <si>
    <t>Jeans baggy negros H&amp;M</t>
  </si>
  <si>
    <t>Talla S_32x32</t>
  </si>
  <si>
    <t>Jeans straight regular gris oscuro H&amp;M</t>
  </si>
  <si>
    <t>Talla XS_29x32</t>
  </si>
  <si>
    <t>Jeans loose negros H&amp;M</t>
  </si>
  <si>
    <t>Jeans loose azul denim claro H&amp;M</t>
  </si>
  <si>
    <t>Jeans wide high gris H&amp;M</t>
  </si>
  <si>
    <t>Jeans wide high damasco H&amp;M</t>
  </si>
  <si>
    <t>Partes-de-abajo /tallas-medianas</t>
  </si>
  <si>
    <t>Jeans wide higgh azul denim claro H&amp;M</t>
  </si>
  <si>
    <t>Jeans barrel regular azul denim claro H&amp;M</t>
  </si>
  <si>
    <t>Pantalón denim con cordón de ajuste azul H&amp;M</t>
  </si>
  <si>
    <t>Jeans barrel high azul denim oscuro H&amp;M</t>
  </si>
  <si>
    <t>Jeans barrel azul denim oscuro H&amp;M</t>
  </si>
  <si>
    <t>Zapatillas chunky negras H&amp;M</t>
  </si>
  <si>
    <t>Sandalias prácticas de doble tira beige ZARA</t>
  </si>
  <si>
    <t>Gorra new era New York Yankees rosa palo</t>
  </si>
  <si>
    <t>Talla Unitalla</t>
  </si>
  <si>
    <t>Gorra new era New York Yankees beige</t>
  </si>
  <si>
    <t>Gorra new era New York Yankees verde claro</t>
  </si>
  <si>
    <t>Gorra new era New York Yankees pana marrón</t>
  </si>
  <si>
    <t>Gorra new era New York Yankees pana azul marino</t>
  </si>
  <si>
    <t>Gorra de algodón ajustable tie-dyed</t>
  </si>
  <si>
    <t>Top de un hombro en malla blanco con lunares H&amp;M</t>
  </si>
  <si>
    <t>Gilet interlock color crema H&amp;M</t>
  </si>
  <si>
    <t>Top interlock con peplum burdeo H&amp;M</t>
  </si>
  <si>
    <t>Top son mangas en microfibra rojo oscuro H&amp;M</t>
  </si>
  <si>
    <t>Gilet en punto texturizado blanco H&amp;M</t>
  </si>
  <si>
    <t>Gilet corto beige H&amp;M</t>
  </si>
  <si>
    <t>Top con lazo blanco H&amp;M</t>
  </si>
  <si>
    <t>Polera de punto fino crema H&amp;M</t>
  </si>
  <si>
    <t>Blusa en tejido crepé blanco H&amp;M</t>
  </si>
  <si>
    <t>Top con ribete de encaje negro H&amp;M</t>
  </si>
  <si>
    <t>Top con ribete de encaje blanco H&amp;M</t>
  </si>
  <si>
    <t>Pulóver de microfibra entallado marrón empolvado H&amp;M</t>
  </si>
  <si>
    <t>Pulóver entallado gris H&amp;M</t>
  </si>
  <si>
    <t>Camisa oversized de algodón y popelina azul claro con rayas H&amp;M</t>
  </si>
  <si>
    <t>Blusa con manga globo azul vivo estampado H&amp;M</t>
  </si>
  <si>
    <t>Blusa con ribete de vuelos blanca y azul floral H&amp;M</t>
  </si>
  <si>
    <t>Pulóver ajustado de microfibra blanco H&amp;M</t>
  </si>
  <si>
    <t>Top sin mangas acanalada blanca H&amp;M</t>
  </si>
  <si>
    <t>Top con ribete de encaje rosa empolvado claro H&amp;M</t>
  </si>
  <si>
    <t>Top sin mangas blanca acanalado H&amp;M</t>
  </si>
  <si>
    <t>Top con encaje blanco floral H&amp;M</t>
  </si>
  <si>
    <t>Top de tirantes de microfibra negro H&amp;M</t>
  </si>
  <si>
    <t>Pulóver oversized con motivo de texto blanco Mattina H&amp;M</t>
  </si>
  <si>
    <t>Vestido drapeado de malla negro H&amp;M</t>
  </si>
  <si>
    <t>Top cropped sin mangas blanco y rojo rayado H&amp;M</t>
  </si>
  <si>
    <t>Pulóver estampado turquesa claro Maldives H&amp;M</t>
  </si>
  <si>
    <t>Top fruncido rosa empolvado claro H&amp;M</t>
  </si>
  <si>
    <t>Camisa con escote V blanco rayado H&amp;M</t>
  </si>
  <si>
    <t>Blusa oversized crema H&amp;M</t>
  </si>
  <si>
    <t>Pulóver oversized azul claro H&amp;M</t>
  </si>
  <si>
    <t>Pulóver con escoye cuadrado azul empolvado H&amp;M</t>
  </si>
  <si>
    <t>Top drapeado crema H&amp;M</t>
  </si>
  <si>
    <t>Top arrugado con lazo doble blanco H&amp;M</t>
  </si>
  <si>
    <t>Shorts en mezcla de lino relaxed fit blanco H&amp;M</t>
  </si>
  <si>
    <t>Shorts de mezcla de lino relaxed fit beige H&amp;M</t>
  </si>
  <si>
    <t>Shorts en mezcla de lino relaxed fit negro H&amp;M</t>
  </si>
  <si>
    <t>Shorts de lino con cordón de ajuste blanco H&amp;M</t>
  </si>
  <si>
    <t>Shorts en mezcla de lino regular fit beige H&amp;M</t>
  </si>
  <si>
    <t>Shorts buzo regular fit azul marino H&amp;M</t>
  </si>
  <si>
    <t>Shorts buzo regualr fit de gran calidad azul marino H&amp;M</t>
  </si>
  <si>
    <t>Calzado</t>
  </si>
  <si>
    <t>Sandalias strappy de hombres negras ZARA</t>
  </si>
  <si>
    <t>Sandalias de tiras de cuero de hombres negras ZARA</t>
  </si>
  <si>
    <t>Cárdigan de manga corta gris H&amp;M</t>
  </si>
  <si>
    <t>Top fruncido sin mangas burdeos H&amp;M</t>
  </si>
  <si>
    <t>Top off the shoulder blanco con textura H&amp;M</t>
  </si>
  <si>
    <t>Pulóver de algodón gris H&amp;M</t>
  </si>
  <si>
    <t>Pulóver acanalado blanco H&amp;M</t>
  </si>
  <si>
    <t>Blusa con escote V blanca H&amp;M</t>
  </si>
  <si>
    <t>Top cropped acanalado verde claro H&amp;M</t>
  </si>
  <si>
    <t>Top fruncido negro H&amp;M</t>
  </si>
  <si>
    <t>Top de un solo hombro con vuelos crema H&amp;M</t>
  </si>
  <si>
    <t>Suéter sin mangas azul marino H&amp;M</t>
  </si>
  <si>
    <t>Sandalias destalonadas con tacón kitten y punta fina beige claro H&amp;M</t>
  </si>
  <si>
    <t>Jeans loose straight azul denim H&amp;M</t>
  </si>
  <si>
    <t>Talla XL_38x32</t>
  </si>
  <si>
    <t>Shorts relaxed azul denim claro H&amp;M</t>
  </si>
  <si>
    <t>Talla S_31</t>
  </si>
  <si>
    <t>Shorts baggy gris denim H&amp;MJ</t>
  </si>
  <si>
    <t>Jeans baggy azul denim H&amp;M</t>
  </si>
  <si>
    <t>Talla S_31x32</t>
  </si>
  <si>
    <t>Jeans baggy gris H&amp;M</t>
  </si>
  <si>
    <t>Camiseta sin mangas acanalada marrón oscuro H&amp;M</t>
  </si>
  <si>
    <t>Top sin mangas acanalado marrón oscuro H&amp;M</t>
  </si>
  <si>
    <t>Camiseta sin mangas acanalada beige grisáceo H&amp;M</t>
  </si>
  <si>
    <t>Top acanalado con cuello bote negro H&amp;M</t>
  </si>
  <si>
    <t>Top sin mangas en algodón rojo vivo H&amp;M</t>
  </si>
  <si>
    <t>Top pointelle con ribete blanco con rayas azul marino H&amp;M</t>
  </si>
  <si>
    <t>Top entallado sin mangas azul marino H&amp;M</t>
  </si>
  <si>
    <t>Top sin mangas acanalado azul grisáceo H&amp;M</t>
  </si>
  <si>
    <t>Partes-de-abajo /hm /hm /tallas-pequenas</t>
  </si>
  <si>
    <t>Shorts de mujer Skinny alto azul denim H&amp;M</t>
  </si>
  <si>
    <t>Partes-de-abajo /hm /hm /tallas-medianas</t>
  </si>
  <si>
    <t>Partes-de-abajo /hm /tallas-medianas</t>
  </si>
  <si>
    <t>_Shorts de cintura alta de mezclilla azul denim H&amp;M</t>
  </si>
  <si>
    <t>Shorts de mezclilla con cordón azul denim H&amp;M</t>
  </si>
  <si>
    <t>Shorts mom ultra high azul denim oscuro H&amp;M</t>
  </si>
  <si>
    <t>Shorts high denim negro H&amp;M</t>
  </si>
  <si>
    <t>Shorts de punto efecto arrugado negro H&amp;M</t>
  </si>
  <si>
    <t>Falda de punto con vuelo negro H&amp;M</t>
  </si>
  <si>
    <t>Shorts con cordón de ajuste marrón oscuro estampado H&amp;M</t>
  </si>
  <si>
    <t>Shorts de algodón con cordón de ajuste amarillo con rayas H&amp;M</t>
  </si>
  <si>
    <t>Shorts buzo topo oscuro H&amp;M</t>
  </si>
  <si>
    <t>Shorts buzo de algodón lavado gris azulado H&amp;M</t>
  </si>
  <si>
    <t>Shorts buzo de algodón lavado gris H&amp;M</t>
  </si>
  <si>
    <t>Shorts buzo beige oscuro H&amp;M</t>
  </si>
  <si>
    <t>Falda pantalón cruzada beige H&amp;M</t>
  </si>
  <si>
    <t>Shorts de popelina azul claro con rayas blancas H&amp;M</t>
  </si>
  <si>
    <t>Shorts en mezcla de lino beige claro H&amp;M</t>
  </si>
  <si>
    <t>Falda pantalón cruzada burdeo H&amp;M</t>
  </si>
  <si>
    <t>Shorts interlock marrón burdeos H&amp;M</t>
  </si>
  <si>
    <t>Shorts de lino con cordón de ajuste beige claro H&amp;M</t>
  </si>
  <si>
    <t>Shorts de algodón con cordón de ajuste blanco con rayas beige H&amp;M</t>
  </si>
  <si>
    <t>Shorts de algodón azul marino H&amp;M</t>
  </si>
  <si>
    <t>Shorts de buzo en algodón lavado beige claro H&amp;M</t>
  </si>
  <si>
    <t>Shorts buzo crema rayado H&amp;M</t>
  </si>
  <si>
    <t xml:space="preserve">Partes-de-abajo /tallas-extras </t>
  </si>
  <si>
    <t>Shorts en mezcla de lino con cordón de ajuste beige claro H&amp;M</t>
  </si>
  <si>
    <t>Short bañador azul claro H&amp;M</t>
  </si>
  <si>
    <t>Shorts bañador negro H&amp;M</t>
  </si>
  <si>
    <t>Shorts buzo regular fit grisb oscuro</t>
  </si>
  <si>
    <t>Shorts buzo regular fit beige gran calidad H&amp;M</t>
  </si>
  <si>
    <t>Shorts buzo regular fit burdeos gran calidad H&amp;M</t>
  </si>
  <si>
    <t>Shorts buzo regular fit azul marino gran calidad H&amp;M</t>
  </si>
  <si>
    <t>Shorts de baño verde bosque H&amp;M</t>
  </si>
  <si>
    <t>Shorts de baño de sirsaca beige con rayas H&amp;M</t>
  </si>
  <si>
    <t>Shorts de baño verde oscuro estampado H&amp;M</t>
  </si>
  <si>
    <t>Shorts de baño crema H&amp;M</t>
  </si>
  <si>
    <t>Shorts running negro DryMove H&amp;M</t>
  </si>
  <si>
    <t>Shorts con raya regular fit azul marino H&amp;M</t>
  </si>
  <si>
    <t>trajes-de-bano /tallas-medianas</t>
  </si>
  <si>
    <t>trajes-de-bano /tallas-grandes</t>
  </si>
  <si>
    <t>Top de bikini con relleno texturizado blanco H&amp;M</t>
  </si>
  <si>
    <t>Top de bikini con relleno con copa H&amp;M</t>
  </si>
  <si>
    <t>Top de bikini padded negro H&amp;M</t>
  </si>
  <si>
    <t>trajes-de-bano /tallas-pequenas</t>
  </si>
  <si>
    <t>Top de bikini con relleno texturizado blanco con accesorios decorativos H&amp;M</t>
  </si>
  <si>
    <t>Top sujetador deportivo beige de microfibra H&amp;M</t>
  </si>
  <si>
    <t>Bralette con relleno seamless negro H&amp;M</t>
  </si>
  <si>
    <t>Sujetador de microfibra push-up rosa pálido H&amp;M</t>
  </si>
  <si>
    <t>Talla 36C</t>
  </si>
  <si>
    <t>Sujetador push-up de encaje negro H&amp;M</t>
  </si>
  <si>
    <t>Sujetador push-up de encaje blanco H&amp;M</t>
  </si>
  <si>
    <t>Sujetador súper push-up de encaje blanco H&amp;M</t>
  </si>
  <si>
    <t>Talla 36B</t>
  </si>
  <si>
    <t>Sujetador súper push-up de encaje negro H&amp;M</t>
  </si>
  <si>
    <t>Sujetador push-up de microfibra beige H&amp;M</t>
  </si>
  <si>
    <t>Sujetador push-up de microfibra blanco H&amp;M</t>
  </si>
  <si>
    <t>lenceria /tallas-grandes</t>
  </si>
  <si>
    <t>Blúmer faja push-up con efecto moldeador firme beige H&amp;M</t>
  </si>
  <si>
    <t>Blúmer hipster de microfibra negro H&amp;M</t>
  </si>
  <si>
    <t>Lenceria /tallas-pequenas</t>
  </si>
  <si>
    <t>Blímer hipster cheeky invisible beige H&amp;M</t>
  </si>
  <si>
    <t>Blúmer seamless thong briefs negro H&amp;M</t>
  </si>
  <si>
    <t>Blúmer hipster de algodón varios colores H&amp;M</t>
  </si>
  <si>
    <t>Blúmer estilo brasileño de algodón varios colores H&amp;M</t>
  </si>
  <si>
    <t>Blúmer hipster de algodón con encaje varios colores H&amp;M</t>
  </si>
  <si>
    <t>Calcetines negros H&amp;M</t>
  </si>
  <si>
    <t>Talla 43-45</t>
  </si>
  <si>
    <t>Calcetines azul marino H&amp;M</t>
  </si>
  <si>
    <t>Talla 40-42</t>
  </si>
  <si>
    <t>Calcetines pointelle blancos H&amp;MJ</t>
  </si>
  <si>
    <t>Talla 36-38</t>
  </si>
  <si>
    <t>Pantalón en mezcla de lino con cordón de ajuste blanco H&amp;M</t>
  </si>
  <si>
    <t>Pantalón con cordón de ajuste texturizado blanco H&amp;M</t>
  </si>
  <si>
    <t>Pantalón en mezcla de lino con cordón de ajuste beige claro H&amp;M</t>
  </si>
  <si>
    <t>Pantalón recto en mezcla de lino beige claro H&amp;M</t>
  </si>
  <si>
    <t>Pantalón recto con cordón de ajuste crema con rayas H&amp;M</t>
  </si>
  <si>
    <t>Pantalón con cordón de ajuste crema con rayas y pata ancha H&amp;M</t>
  </si>
  <si>
    <t>Pantalón recto en mezcla de lino casi negro H&amp;M</t>
  </si>
  <si>
    <t>Pantaloneta amplia pull/on color crema rayas H&amp;M</t>
  </si>
  <si>
    <t>Pantalón en punto texturizado con cordón de ajuste crema/rayas H&amp;M</t>
  </si>
  <si>
    <t>Pantalón recto con cordón de ajuste azul claro con rayas H&amp;M</t>
  </si>
  <si>
    <t>Pantalón recto con cordón de ajuste negro H&amp;M</t>
  </si>
  <si>
    <t>Pantalón amplio pull-on negro H&amp;M</t>
  </si>
  <si>
    <t>Pantalón amplio con cordón de ajuste muselina blanco H&amp;M</t>
  </si>
  <si>
    <t>Pantalón flared de punto burdeos H&amp;M</t>
  </si>
  <si>
    <t>Pantalón buzo gris claro jaspeado H&amp;M</t>
  </si>
  <si>
    <t>Joggers amplios gris claro jaspeado H&amp;M</t>
  </si>
  <si>
    <t>Pulóver acanalado gris azulado claro H&amp;M</t>
  </si>
  <si>
    <t>Pulóver de punto de algodón verde claro H&amp;M</t>
  </si>
  <si>
    <t>Pulóver entallado de microfibra negro H&amp;M</t>
  </si>
  <si>
    <t>Pulóver entallado negro acanalado H&amp;M</t>
  </si>
  <si>
    <t>Pulóver estampado blanco Guava H&amp;M</t>
  </si>
  <si>
    <t>Pulóver estampado beige Portofino Tenis Club H&amp;M</t>
  </si>
  <si>
    <t>Pulóver estampado blanco Limón H&amp;M</t>
  </si>
  <si>
    <t>Pulóver ajustado de microfibra negro H&amp;M</t>
  </si>
  <si>
    <t>Pulóver blanco de algodón H&amp;M</t>
  </si>
  <si>
    <t>Pulóver acanalado en mezcla modal beige grisáceo H&amp;M</t>
  </si>
  <si>
    <t>Pulóver corto beige grisáceo H&amp;M</t>
  </si>
  <si>
    <t>Pulóver acanalado corto azul marino H&amp;M</t>
  </si>
  <si>
    <t>Pulóver de microfibra verde grisáceo H&amp;M</t>
  </si>
  <si>
    <t>Pulóver de algodón rosa empolvado H&amp;M</t>
  </si>
  <si>
    <t>Pulóver acanalado azul marino H&amp;M</t>
  </si>
  <si>
    <t>Pulóver entallado crema H&amp;M</t>
  </si>
  <si>
    <t>Pulóver acanalado en mezcla modal blanco H&amp;M</t>
  </si>
  <si>
    <t>Pulóver oversized con motivo estampado blanco/Pacha H&amp;M</t>
  </si>
  <si>
    <t>Pulóver oversized con motivo estampado blanco/Los Angeles H&amp;M</t>
  </si>
  <si>
    <t>Pulóver con estampado blanco/Paris H&amp;M</t>
  </si>
  <si>
    <t>Pulóver estampado blanco/Atelier Paris H&amp;M</t>
  </si>
  <si>
    <t>Pulóver entallado verde caqui H&amp;M</t>
  </si>
  <si>
    <t>Pulóver de algodón beige claro H&amp;M</t>
  </si>
  <si>
    <t>Pulóver oversized blanco/Limones H&amp;M</t>
  </si>
  <si>
    <t>Pulóver corto marrón oscuro H&amp;M</t>
  </si>
  <si>
    <t>Pulóver corto acanalado blanco H&amp;M</t>
  </si>
  <si>
    <t>Pulóver oversized blanco/Oui H&amp;M</t>
  </si>
  <si>
    <t>Pulóver de algodón gris claro jaspeado H&amp;M</t>
  </si>
  <si>
    <t>Pulóver con estampado gris oscuro/Cannes H&amp;M</t>
  </si>
  <si>
    <t>Pulóver deportivo DryMove negro H&amp;M</t>
  </si>
  <si>
    <t>Pulóver estampado blanco/Limoni H&amp;M</t>
  </si>
  <si>
    <t>Pulóver en punto de añgodón verde claro H&amp;M</t>
  </si>
  <si>
    <t>Pulóver con escote cuadrado blanco H&amp;M</t>
  </si>
  <si>
    <t>Pulóver con escote cuadrado negro H&amp;M</t>
  </si>
  <si>
    <t>Polo slim fit naranja oscuro H&amp;M</t>
  </si>
  <si>
    <t>Polo slim fit CoolMax negro H&amp;M</t>
  </si>
  <si>
    <t>Camisa resort estampada regular fit negro/floral H&amp;M</t>
  </si>
  <si>
    <t>Pulóver con estampado blanco/paris H&amp;M</t>
  </si>
  <si>
    <t>Pulóver acanalado rosa claro H&amp;M</t>
  </si>
  <si>
    <t>Blusa panal de abeja viscosa negra H&amp;M</t>
  </si>
  <si>
    <t>Top de punto pointelle amarillo claro H&amp;M</t>
  </si>
  <si>
    <t>Camisa denim azul oscuro H&amp;M</t>
  </si>
  <si>
    <t>Blusa de algodón boderie inlgés blanco H&amp;M</t>
  </si>
  <si>
    <t>Top de tirantes con cintura entallada negroH&amp;M</t>
  </si>
  <si>
    <t>Pulóver acanalado con ribete picot rosa claro H&amp;M</t>
  </si>
  <si>
    <t>Blusa de algodón con boderie inglés azul claro rayado H&amp;M</t>
  </si>
  <si>
    <t>Top de tirantes espaguetis con basta burbuja crema rosa floral H&amp;M</t>
  </si>
  <si>
    <t>Pulóver estampado crema marmoleado H&amp;M</t>
  </si>
  <si>
    <t>Pulóver de mujer blanco con letrero Beauté H&amp;M</t>
  </si>
  <si>
    <t>Pulóver acanalado blanco rayado H&amp;M</t>
  </si>
  <si>
    <t>Jeans wide high blanco con bolsillos delanteros H&amp;M</t>
  </si>
  <si>
    <t>Joggers amplio negro H&amp;M</t>
  </si>
  <si>
    <t>Pantalón amplio en mezcla de lino azul acero H&amp;M</t>
  </si>
  <si>
    <t>Leggins flared negro mate H&amp;M</t>
  </si>
  <si>
    <t>Joggers amplios gris claro marmoleado H&amp;M</t>
  </si>
  <si>
    <t>Jeans loose fit azul denim claro H&amp;M</t>
  </si>
  <si>
    <t>Pantalón flared de punto beige oscuro H&amp;M</t>
  </si>
  <si>
    <t>Pantalón denim pull-on azul claro H&amp;M</t>
  </si>
  <si>
    <t>Pantalón en mezcla de lino beige H&amp;M</t>
  </si>
  <si>
    <t>Minifalda beige oscuro H&amp;M</t>
  </si>
  <si>
    <t>Minifalda azul oscuro denim H&amp;M</t>
  </si>
  <si>
    <t>Falda pantalón cruzada negro H&amp;M</t>
  </si>
  <si>
    <t>Minifalda de algodón con pinzas negro H&amp;M</t>
  </si>
  <si>
    <t>Vestidos /tallas-medianas</t>
  </si>
  <si>
    <t>Vestido recto con bolsillos beige H&amp;M</t>
  </si>
  <si>
    <t xml:space="preserve">Talla M </t>
  </si>
  <si>
    <t>Pantalón recto con cordón blanco H&amp;M</t>
  </si>
  <si>
    <t>Pantalón en mezcla de lino negro H&amp;M</t>
  </si>
  <si>
    <t>Pantalón cropped en mezcla de lino azul claro rayado H&amp;M</t>
  </si>
  <si>
    <t>Pantaloneta cropped verde caqui claro H&amp;M</t>
  </si>
  <si>
    <t>Pantalón recto en mezcla de lino gris oscuro H&amp;M</t>
  </si>
  <si>
    <t>calzado-hombres</t>
  </si>
  <si>
    <t>Sandalias prácticas de hombres marrón con detalle de hebillas plateadas ZARA</t>
  </si>
  <si>
    <t>Talla 45</t>
  </si>
  <si>
    <t>Sandalias prácticas doble tira negras ZARA</t>
  </si>
  <si>
    <t>Sandalias prácticas con correa ajustable y suela gruesa olivas PRIMARK</t>
  </si>
  <si>
    <t>Sandalias prácticas con correa ajustable y suela gruesa grises PRIMARK</t>
  </si>
  <si>
    <t xml:space="preserve">calzado </t>
  </si>
  <si>
    <t>Sandalias prácticas doble tira y hebilla dorada beige PRIMARK</t>
  </si>
  <si>
    <t>Sandalias prácticas doble tira y hebilla dorada marrón PRIMARK</t>
  </si>
  <si>
    <t>Sandalias destalonadas con hebilla y tira en T blancas PRIMARK</t>
  </si>
  <si>
    <t>Sandalias destalonadas con hebilla y tira en T verde grisáceo PRIMARK</t>
  </si>
  <si>
    <t>Polo de punto regular estándar negro H&amp;M</t>
  </si>
  <si>
    <t>Polo de punto regular estándar blanco H&amp;M</t>
  </si>
  <si>
    <t>Polo de punto regular estándar verde caqui H&amp;M</t>
  </si>
  <si>
    <t>Mocasines de vestir negros con ligero tacón unisex ZARA</t>
  </si>
  <si>
    <t>Mocasines de vestir negros con suela track unisex ZARA</t>
  </si>
  <si>
    <t>Sandalias de piel negras unisex ZARA</t>
  </si>
  <si>
    <t>Sandalias suecos negros PRIMARK</t>
  </si>
  <si>
    <t>Zapatillas Vomero Plus Anthracite Black-Oatmeal</t>
  </si>
  <si>
    <t>Blusa de popelina con mangas globo blanco y azul rayado H&amp;M</t>
  </si>
  <si>
    <t>Gilet corto crema rayado H&amp;M</t>
  </si>
  <si>
    <t>Top drapeado con mangas japonesas gris oscuro H&amp;M</t>
  </si>
  <si>
    <t>Blusa con doblillo de burbujas estampada negro floral H&amp;M</t>
  </si>
  <si>
    <t>Top sin mangas en microfibra beige claro H&amp;M</t>
  </si>
  <si>
    <t>Pulóver con escote cuadrado crema con rayas negras H&amp;M</t>
  </si>
  <si>
    <t>Blusa de algodón con broderie inglés azul claro rayado H&amp;M</t>
  </si>
  <si>
    <t>Top drapeado con mangas japonesas topo oscuro H&amp;M</t>
  </si>
  <si>
    <t>Talla  XS</t>
  </si>
  <si>
    <t>Top de punto de textura color crema H&amp;M</t>
  </si>
  <si>
    <t>Top efecto arrugado color crema H&amp;M</t>
  </si>
  <si>
    <t>Top en punto texturizado rosa claro H&amp;M</t>
  </si>
  <si>
    <t xml:space="preserve">vestidos /tallas-medianas </t>
  </si>
  <si>
    <t>Vestido de algodón con volantes blanco H&amp;M</t>
  </si>
  <si>
    <t>Shorts denim gris oscuro H&amp;M</t>
  </si>
  <si>
    <t>Shorts denim high azul denim oscuro H&amp;M</t>
  </si>
  <si>
    <t>Talla XXL_14</t>
  </si>
  <si>
    <t>Shorts denim de tiro alto blanco H&amp;M</t>
  </si>
  <si>
    <t>Shorts denim con lazada decorativa blanco H&amp;M</t>
  </si>
  <si>
    <t>partes-de-arriba-hombre /tallas-medianas</t>
  </si>
  <si>
    <t>Pulóver oversized blanco The Palmera Collective H&amp;M</t>
  </si>
  <si>
    <t>partes-de-arriba-hombre /tallas-pequenas</t>
  </si>
  <si>
    <t>Pulóver con cuello regular fit azul marino H&amp;M</t>
  </si>
  <si>
    <t>Polo en punto fino regular fit beige H&amp;M</t>
  </si>
  <si>
    <t>partes-de-arriba-hombre /tallas-grandes</t>
  </si>
  <si>
    <t>Pulóver con motivo estampado loose fit blanco/Seashells H&amp;M</t>
  </si>
  <si>
    <t>Pulóver loose fit gris oscuro H&amp;M</t>
  </si>
  <si>
    <t>Pulóver con motivo estampado loose fit beige/Beverly Hills H&amp;M</t>
  </si>
  <si>
    <t>Pulóver con motivo estampado malva/Le Triangle D´or H&amp;M</t>
  </si>
  <si>
    <t>Pulóver en tejido waffle color crema H&amp;M</t>
  </si>
  <si>
    <t>Pulóver con motivo estampado blanco/Water Lilies H&amp;M</t>
  </si>
  <si>
    <t>Pulóver loose fit blanco Small Talk H&amp;M</t>
  </si>
  <si>
    <t>Pulóver lavado boxy fit blanco H&amp;M</t>
  </si>
  <si>
    <t>Pulóver oversized fit blanco H&amp;M</t>
  </si>
  <si>
    <t>Pulóver loose fit rosa durazno H&amp;M</t>
  </si>
  <si>
    <t>Vestido de tirantes finos satinado beige claro ZARA</t>
  </si>
  <si>
    <t xml:space="preserve">vestidos /tallas-grandes </t>
  </si>
  <si>
    <t>Vestido fruncido amarillo ZARA</t>
  </si>
  <si>
    <t xml:space="preserve">Vestidos /tallas-extras </t>
  </si>
  <si>
    <t>Vestido corto fruncido con detalle recogido negro ZARA</t>
  </si>
  <si>
    <t>Vestido combinado crema y negro ZARA</t>
  </si>
  <si>
    <t>Vestido largo satinado gris oscuro ZARA</t>
  </si>
  <si>
    <t>Mono verde olivo ZARA</t>
  </si>
  <si>
    <t>Vestido corto asimétrico halter negro ZARA</t>
  </si>
  <si>
    <t>Vestido asimétrico azul marino ZARA</t>
  </si>
  <si>
    <t>Vestido negro con transparencias ZARA</t>
  </si>
  <si>
    <t>Vestido midi negro cuello cuadrado ZARA</t>
  </si>
  <si>
    <t>Vestido corto con fruncido negro ZARA</t>
  </si>
  <si>
    <t>Vestido lencero de satén crema ZARA</t>
  </si>
  <si>
    <t>Vestido mini fucsia ZARA</t>
  </si>
  <si>
    <t>Sandalias prácticas con correa ajustable y suela gruesa marrón PRIMARK</t>
  </si>
  <si>
    <t>Sandalias prácticas con correa ajustable y suela gruesa negras PRIMARK</t>
  </si>
  <si>
    <t>Sandalias prácticas engomadas doble tira negras ZARA</t>
  </si>
  <si>
    <t>Sandalias prácticas Pantolette verde caqui PULL&amp;BEAR</t>
  </si>
  <si>
    <t>Sandalias tipo zuecos negros PRIMARK</t>
  </si>
  <si>
    <t>Mocasines louferlar biege oscuro ZARA</t>
  </si>
  <si>
    <t>Sandalias destalonadas con hebilla y tira en T beige PRIMARK</t>
  </si>
  <si>
    <t>Talla 49</t>
  </si>
  <si>
    <t>Sandalias prácticas doble tira y hebilla plateada blancas PRIMARK</t>
  </si>
  <si>
    <t>Sandalias prácticas doble tira y hebillas negras PRIMARK</t>
  </si>
  <si>
    <t>Sandalias clásicas de goma beige Havaianas</t>
  </si>
  <si>
    <t>Talla 39-40</t>
  </si>
  <si>
    <t>Sandalias clásicas de goma negras Havaianas</t>
  </si>
  <si>
    <t>Talla 41-42</t>
  </si>
  <si>
    <t>Sandalias con tira en T de gomas beige Havaianas</t>
  </si>
  <si>
    <t>Sandalias con tiras en T negras y beige ZARA</t>
  </si>
  <si>
    <t>Sandalias planas con tiras cruzadas beige oscuro Parfois</t>
  </si>
  <si>
    <t>Sandalias planas de tiras finas terracotas Parfois</t>
  </si>
  <si>
    <t>Sandalias planas de tiras finas cremas Parfois</t>
  </si>
  <si>
    <t>consignación</t>
  </si>
  <si>
    <t>Sandalias estilo chilena negras PRIMARK</t>
  </si>
  <si>
    <t>Bolso tote color crema Parfois</t>
  </si>
  <si>
    <t>Bolso tote color marrón Parfois</t>
  </si>
  <si>
    <t>Bolso de mano camel Parfois</t>
  </si>
  <si>
    <t>Bolso bandolera verde oscuro Parfois</t>
  </si>
  <si>
    <t>Bolso bandolera con correa negra beige Parfois</t>
  </si>
  <si>
    <t>Conjunto en mezcla de lino crema con rayas beige</t>
  </si>
  <si>
    <t xml:space="preserve">Vestido playero de mangas largas de crochet beige oscuro </t>
  </si>
  <si>
    <t>Vestido playero de mangas largas de crochet crema con detalles</t>
  </si>
  <si>
    <t xml:space="preserve">Conjunto de crochet de rayas blancas y terracota </t>
  </si>
  <si>
    <t>Top con lazo verde caqui ZARA</t>
  </si>
  <si>
    <t>Top rosa barbie con lazo trasero ZARA</t>
  </si>
  <si>
    <t>Top strapless blanco con detalle de lazo ZARA</t>
  </si>
  <si>
    <t>Top strapless blanco con botes ZARA</t>
  </si>
  <si>
    <t>Top halter estampado rosa y verde ZARA</t>
  </si>
  <si>
    <t>Top conn escote corazón verde menta claro ZARA</t>
  </si>
  <si>
    <t>Top strapless fruncido verde oliva ZARA</t>
  </si>
  <si>
    <t>Top de popelina de rayas azules con vuelos ZARA</t>
  </si>
  <si>
    <t>Top strapless blanco con corte triangular ZARA</t>
  </si>
  <si>
    <t>Pantalón satinado con estampado de coloores ZARA</t>
  </si>
  <si>
    <t>Vestido fruncido negro ZARA</t>
  </si>
  <si>
    <t>Vestido satinado con detalle dorado violeta ZARA</t>
  </si>
  <si>
    <t>Vestido strapless midi crema ZARA</t>
  </si>
  <si>
    <t>Vestido de tirantes finos negro con flores ZARA</t>
  </si>
  <si>
    <t>Vestido en mezcla de lino marrón con adornos ZARA</t>
  </si>
  <si>
    <t>Vestido boho estampado verde olivo ZARA</t>
  </si>
  <si>
    <t xml:space="preserve">Vestidos /tallas-grandes  </t>
  </si>
  <si>
    <t>Vestido midi con lazos crema con estampado de flores ZARA</t>
  </si>
  <si>
    <t>Vestido striped halter crema ZARA</t>
  </si>
  <si>
    <t>Vestido halter estampado negro y crema ZARA</t>
  </si>
  <si>
    <t>Vestido mini con hebillas verde caqui ZARA</t>
  </si>
  <si>
    <t>Vestidos /tallas-grandes</t>
  </si>
  <si>
    <t>Vestido midi con estampado de flores azules ZARA</t>
  </si>
  <si>
    <t>Vestido midi de algodón blanco ZARA</t>
  </si>
  <si>
    <t>Vestido halter azul denim claro ZARA</t>
  </si>
  <si>
    <t>Vestido midi satinado negro ZARA</t>
  </si>
  <si>
    <t>Shorts high mom ultra azul denim claro H&amp;M</t>
  </si>
  <si>
    <t>Shorts básico azul denim H&amp;M</t>
  </si>
  <si>
    <t>Shorts high azul denim claro H&amp;M</t>
  </si>
  <si>
    <t>Shorts de mezclilla con cordón azul claro denim H&amp;M</t>
  </si>
  <si>
    <t>Shorts denim con lazada decorativa negro H&amp;M</t>
  </si>
  <si>
    <t>Shorts denim altos gris oscuro H&amp;M</t>
  </si>
  <si>
    <t xml:space="preserve">Pulóver crema Miami PULL&amp;BEAR </t>
  </si>
  <si>
    <t>Pulóver crema Cést la vie ca va passer PULL&amp;BEAR</t>
  </si>
  <si>
    <t xml:space="preserve">Pulóver boxy fit verde caqui Lefties </t>
  </si>
  <si>
    <t>Pulóver verde claro de algodón PULL&amp;BEAR</t>
  </si>
  <si>
    <t>Camiseta sin mangas color crema STWD</t>
  </si>
  <si>
    <t>Camisa crochet negra ZARA</t>
  </si>
  <si>
    <t>Camisa de lino con bordados blanca ZARA</t>
  </si>
  <si>
    <t>Camisa de lino azul marino Lefties</t>
  </si>
  <si>
    <t>Camisa texturizada terracota PULL&amp;BEAR</t>
  </si>
  <si>
    <t>Camisa jacquard striped blanca ZARA</t>
  </si>
  <si>
    <t>Camisa 100% de lino beige ZARA</t>
  </si>
  <si>
    <t>Camisa 100% de lino balnca ZARA</t>
  </si>
  <si>
    <t>Camisa blanca con detalles bordados en azul Lefties</t>
  </si>
  <si>
    <t>Camisa crichet crema con rayas beige PULL&amp;BEAR</t>
  </si>
  <si>
    <t>Camisa con cuelloo mao de lino beige Lefites</t>
  </si>
  <si>
    <t>Camisa de manga corta relaxed fit azul marino Lefties</t>
  </si>
  <si>
    <t>partes-de-abajo-hombre /tallas-medianas</t>
  </si>
  <si>
    <t>Bermudas 100% de lino beige ZARA</t>
  </si>
  <si>
    <t>Bermudas 100% de lino azul marino ZARA</t>
  </si>
  <si>
    <t>partes-de-abajo-hombre /tallas-pequenas</t>
  </si>
  <si>
    <t>Bermudas de lino azul claro ZARA</t>
  </si>
  <si>
    <t>Bermudas de lino beige claro ZARA</t>
  </si>
  <si>
    <t>Bermudas 100% lino beige con cordón de ajuste ZARA</t>
  </si>
  <si>
    <t>Bermuda 100% lino beige claro ZARA</t>
  </si>
  <si>
    <t>Pulóver interlock verde grisáceo PULL&amp;BEAR</t>
  </si>
  <si>
    <t>Pulóver interlock azul claro PULL&amp;BEAR</t>
  </si>
  <si>
    <t>Pulóver interlock verde militar PULL&amp;BEAR</t>
  </si>
  <si>
    <t>Pulóver de gran calidad beige claro ¨The closest to the sky¨ PULL&amp;BEAR</t>
  </si>
  <si>
    <t>Pulóver interlock rosa claro PULL&amp;BEAR</t>
  </si>
  <si>
    <t>Pulóver interlock azul grisáceo Lefties</t>
  </si>
  <si>
    <t>Pulóver interlock verde militar Lefties</t>
  </si>
  <si>
    <t>Pantalón de lino beige oscuro BERSHKA</t>
  </si>
  <si>
    <t>partes-de-abajo-hombre /tallas-grandes</t>
  </si>
  <si>
    <t>Pantalón de lino verde caqui ZARA</t>
  </si>
  <si>
    <t>Mocasines loafers negros ZARA</t>
  </si>
  <si>
    <t>Sandalias doble tira con gamuza marrón ZARA</t>
  </si>
  <si>
    <t xml:space="preserve">Sandalias planas con tiras marrón Bershka </t>
  </si>
  <si>
    <t>Sandalias planas con tiras fucsia Parfois</t>
  </si>
  <si>
    <t>Bolso tote de textura suave gris Parfois</t>
  </si>
  <si>
    <t>Bolso de mano verde lima Parfois</t>
  </si>
  <si>
    <t>Bolso de mano blanco Parfois</t>
  </si>
  <si>
    <t>Pantalón de vestir wide leg Lefties</t>
  </si>
  <si>
    <t>Pantalón de vestir azul marino Stradivarius</t>
  </si>
  <si>
    <t>Pantalón de vestir negro Stradivarius</t>
  </si>
  <si>
    <t>Pantalón en mezcla de lino con cordón de ajuste verde caqui Lefties</t>
  </si>
  <si>
    <t>Pantalón en mezcla de lino con cordón de ajuste azul claro BERSHKA</t>
  </si>
  <si>
    <t>Shorts en mezcla de lino con cinturón terracota ZARA</t>
  </si>
  <si>
    <t>Shorts buzo The White Lotus ZARA</t>
  </si>
  <si>
    <t>Shorts blanco con bordados azules ZARA</t>
  </si>
  <si>
    <t>Shorts con efecto lavado terracota ZARA</t>
  </si>
  <si>
    <t>Bermuda denim con efecto lavado azul claro Lefties</t>
  </si>
  <si>
    <t>Shorts satinado verde con bordado ZARA</t>
  </si>
  <si>
    <t xml:space="preserve">Shorts con caida negro Lefties </t>
  </si>
  <si>
    <t>Falda shorts con pliegues negro ZARA</t>
  </si>
  <si>
    <t>Shorts denim azul claro ZARA</t>
  </si>
  <si>
    <t>Shorts denim con flecos azul denim PULL&amp;BEAR</t>
  </si>
  <si>
    <t>Shorts denim con doblez azul denim ZARA</t>
  </si>
  <si>
    <t>Shorts denim con flecos azul denim MNG</t>
  </si>
  <si>
    <t>Bermuda con flecos azul denim Lefties</t>
  </si>
  <si>
    <t>Shorts denim con doblez negro ZARA</t>
  </si>
  <si>
    <t xml:space="preserve">Camisa con bordados negra ZARA </t>
  </si>
  <si>
    <t>Camisa en mezcla de lino con rayas azules y blancas ZARA</t>
  </si>
  <si>
    <t>Camisa mangas cortas negra Lefties</t>
  </si>
  <si>
    <t>Vestido halter de microfibra marrón ZARA</t>
  </si>
  <si>
    <t>Vestido de algodón terracota PRIMARK</t>
  </si>
  <si>
    <t>Vestido de algodón marrón PRIMARK</t>
  </si>
  <si>
    <t>Vestido midi cuello bote marrón PULL&amp;BEAR</t>
  </si>
  <si>
    <t>Vestido midi cuello bote negro PULL&amp;BEAR</t>
  </si>
  <si>
    <t>Vestido en mezcla de lino verde oliva Lefties</t>
  </si>
  <si>
    <t xml:space="preserve">Shorts técnico deportivo azul claro Lefties </t>
  </si>
  <si>
    <t xml:space="preserve">Shorts de playa marrón Lefties </t>
  </si>
  <si>
    <t>Shorts de playa verde menta Lefites</t>
  </si>
  <si>
    <t xml:space="preserve">Shorts de playa negro Lefties </t>
  </si>
  <si>
    <t>partes-de-abajo-hombre /tallas-extras</t>
  </si>
  <si>
    <t>Shorts bañador azul marino Lefties</t>
  </si>
  <si>
    <t>Shorts bañador rosa barbie PULL&amp;BEAR</t>
  </si>
  <si>
    <t>Shorts bañador amarillo fosforescente BERSHKA</t>
  </si>
  <si>
    <t xml:space="preserve">Shorts bañador rosa fucsia </t>
  </si>
  <si>
    <t>Shorts bañador lavanada Lefties</t>
  </si>
  <si>
    <t>artes-de-abajo-hombre /tallas-extras</t>
  </si>
  <si>
    <t>Shorts bañador azul marino STWD PULL&amp;BEAR</t>
  </si>
  <si>
    <t>Shorts bañador negro STWD PULL&amp;BEAR</t>
  </si>
  <si>
    <t>Shorts bañador con textura amarillo mostaza PULL&amp;BEAR</t>
  </si>
  <si>
    <t>Shorts de playa beige Lefties</t>
  </si>
  <si>
    <t>Shorts bañador crema con estampado de estrellas STWD PULL&amp;BEAR</t>
  </si>
  <si>
    <t>Shorts bañador rosa claro con estampado de palmeras STWD PULL&amp;BEAR</t>
  </si>
  <si>
    <t>Shorts bañador verde claro con rayas STWD PULL&amp;BEAR</t>
  </si>
  <si>
    <t>Shorts bañador azul oscuro con estampado STWD PULL&amp;BEAR</t>
  </si>
  <si>
    <t>Shorts bañador naranja con estampado de hojas STWD PULL&amp;BEAR</t>
  </si>
  <si>
    <t>Shorts bañador verde caqui estampado STDW PULL&amp;BEAR</t>
  </si>
  <si>
    <t>Bermuda straight azul denim claro ZARA</t>
  </si>
  <si>
    <t>Bermuda straight azul denim oscuro ZARA</t>
  </si>
  <si>
    <t>Shorts bermuda regular azul denim claro H&amp;M</t>
  </si>
  <si>
    <t>Shorts bermuda straight azul denim claro H&amp;M</t>
  </si>
  <si>
    <t>Shorts bermuda con rotos azul denim PULL&amp;BEAR</t>
  </si>
  <si>
    <t>Talla M_35</t>
  </si>
  <si>
    <t>Bermuda slim azul denim Lefties</t>
  </si>
  <si>
    <t>Shorts de sirsaca terracota PULL&amp;BEAR</t>
  </si>
  <si>
    <t>Bermuda cargo beige PULL&amp;BEAR</t>
  </si>
  <si>
    <t>Bermuda relaxed cargo verde militar PULL&amp;BEAR</t>
  </si>
  <si>
    <t>Bermudas joggers gris Lefties</t>
  </si>
  <si>
    <t>Bermuda joggers azul denim oscuro Lefties</t>
  </si>
  <si>
    <t>Shorts cargo beige con cordón de ajuste BERSHKA</t>
  </si>
  <si>
    <t>Shorts relaxed fit con textura verde caqui ZARA</t>
  </si>
  <si>
    <t>Shorts buzo beige claro Lefties</t>
  </si>
  <si>
    <t>Shorts buzo rosa barbie BERSHKA</t>
  </si>
  <si>
    <t>Shorts buzo de felpa marrón ZARA</t>
  </si>
  <si>
    <t>Shorts loose fit gris oscuro STWD PULL&amp;BEAR</t>
  </si>
  <si>
    <t>Shorts calado beige Lefties</t>
  </si>
  <si>
    <t>Pantalón 100% de lino azul marino ZARA</t>
  </si>
  <si>
    <t>Talla XL_40</t>
  </si>
  <si>
    <t>Pantalón relaxed fit 100% de lino verde grisáceo ZARA</t>
  </si>
  <si>
    <t>Pantalón jogger con cordón de ajuste azul verdoso Lefties</t>
  </si>
  <si>
    <t>Camisa jacquard geométrico negra ZARA</t>
  </si>
  <si>
    <t>Camisa regular fit estructurada crema ZARA</t>
  </si>
  <si>
    <t>Polo verde caqui PULL&amp;BEAR</t>
  </si>
  <si>
    <t>Polo beige claro Lefties</t>
  </si>
  <si>
    <t>partes-de-arriba-hombre /tallas-extras</t>
  </si>
  <si>
    <t>Polo con cuello mao blanco Lefties</t>
  </si>
  <si>
    <t>Polo azul claro Lefties</t>
  </si>
  <si>
    <t>Polo azul marino Lefties</t>
  </si>
  <si>
    <t>Camiseta sin mangas marrón con letrero Lefties</t>
  </si>
  <si>
    <t>Camiseta sin mangas azul claro con letrero ZARA</t>
  </si>
  <si>
    <t>Camiseta sin mangas de algodón blanca BERSHKA</t>
  </si>
  <si>
    <t>Camiseta sin mangas marrón ZARA</t>
  </si>
  <si>
    <t>Camiseta sin mangas calada negra ZARA</t>
  </si>
  <si>
    <t>Camiseta sin mangas calada blanca ZARA</t>
  </si>
  <si>
    <t>Camiseta sin mangas marrón jaspeada STWD PULL&amp;BEAR</t>
  </si>
  <si>
    <t>Camiseta sin mangas crochet crema con rayas BERSHKA</t>
  </si>
  <si>
    <t>Camiseta sin manga de punto crema Lefties</t>
  </si>
  <si>
    <t>Camiseta sin manga de punto negra Lefties</t>
  </si>
  <si>
    <t>Camiseta sin mangas calada azul grisáceo ZARA</t>
  </si>
  <si>
    <t xml:space="preserve">Vestidos /tallas-pequenas </t>
  </si>
  <si>
    <t>Vestido elastizado elegante marrón ZARA</t>
  </si>
  <si>
    <t>Pulóver con motivo decorativo gris oscuro 21 H&amp;M</t>
  </si>
  <si>
    <t>Pulóver de algodón crema con rayas H&amp;M</t>
  </si>
  <si>
    <t>Pulóver con estampado blanco Beach Café H&amp;M</t>
  </si>
  <si>
    <t>Pulóver con estampado blanco Lemon H&amp;M</t>
  </si>
  <si>
    <t>Pulóver en punto de algodón gris claro jaspeado H&amp;M</t>
  </si>
  <si>
    <t>Pulóver estampado blanco Le Maison H&amp;M</t>
  </si>
  <si>
    <t>Pulóver con estampado blanco La Poire H&amp;M</t>
  </si>
  <si>
    <t>Pulóver entallado de microfibra verde salvia claro H&amp;M</t>
  </si>
  <si>
    <t>Pulóver con escote cudrado blanco H&amp;M</t>
  </si>
  <si>
    <t>Pulòver ajustado negro H&amp;M</t>
  </si>
  <si>
    <t>Pulóver oversized negro H&amp;M</t>
  </si>
  <si>
    <t>Pulóver oversized de algodón negro H&amp;M</t>
  </si>
  <si>
    <t>Pulóver entallado de microfibra marrón empolvado H&amp;M</t>
  </si>
  <si>
    <t>Pulóver de algodón azul empolvado claro H&amp;M</t>
  </si>
  <si>
    <t>Pulóver ajustado beige grisáceo claro H&amp;M</t>
  </si>
  <si>
    <t>Pulóver entallado de microfibra gris oscuro H&amp;M</t>
  </si>
  <si>
    <t>Pulóver cropped con escote en U negro H&amp;M</t>
  </si>
  <si>
    <t>Pulóver ajustado blanco H&amp;M</t>
  </si>
  <si>
    <t>Top cropped sin mangas crema y negro con rayas H&amp;M</t>
  </si>
  <si>
    <t>Top cropped sin mangas verde claro H&amp;M</t>
  </si>
  <si>
    <t>Top de tirantes acanalado con tapeta de botones negro H&amp;M</t>
  </si>
  <si>
    <t>Top de tirantes acanalado con tapeta de botones gris claro jaspeado H&amp;M</t>
  </si>
  <si>
    <t>Camiseta sin mangas acanalada blanca H&amp;M</t>
  </si>
  <si>
    <t>Camiseta sin mangas acanalada negra H&amp;M</t>
  </si>
  <si>
    <t>Camiseta sin mangas acanalada azul grisáceo H&amp;M</t>
  </si>
  <si>
    <t>Camiseta sin mangas acanalada azul claro H&amp;M</t>
  </si>
  <si>
    <t>Camiseta sin mangas acanalada beige claro H&amp;M</t>
  </si>
  <si>
    <t>Top sin mangas en punto acanalado beige oscuro H&amp;M</t>
  </si>
  <si>
    <t>Top cropped sin mangas con detalles blanco H&amp;M</t>
  </si>
  <si>
    <t>Top en punto pointelle blanco H&amp;M</t>
  </si>
  <si>
    <t>Top cropped sin mangas blanco H&amp;M</t>
  </si>
  <si>
    <t>Top de tirantes acanalado con tapeta de botones blanco H&amp;M</t>
  </si>
  <si>
    <t>Top cropped sin mangas negro H&amp;M</t>
  </si>
  <si>
    <t>Top sin mangas en microfibra topo oscuro H&amp;M</t>
  </si>
  <si>
    <t>Top cropped sin mnagas negro H&amp;M</t>
  </si>
  <si>
    <t>Camiseta sin mangas acanalada topo H&amp;M</t>
  </si>
  <si>
    <t>Top sin mangas en microfibra blanco H&amp;M</t>
  </si>
  <si>
    <t>Top de tirantes acanalado blano H&amp;M</t>
  </si>
  <si>
    <t>Camiseta sin mangas acanalada crema H&amp;M</t>
  </si>
  <si>
    <t>Top cropped blanco FOREVER 21</t>
  </si>
  <si>
    <t>Shorts paoer bag denim high rise crema H&amp;M</t>
  </si>
  <si>
    <t>Shorts denim high azul denim claro H&amp;M</t>
  </si>
  <si>
    <t>Shorts denim con bastas deflecados blanco H&amp;M</t>
  </si>
  <si>
    <t>Bermuda denim regular azul denim claro H&amp;M</t>
  </si>
  <si>
    <t>Saya con brillos rosa claro SHEIN</t>
  </si>
  <si>
    <t>Mini shorts denim gris lavado H&amp;M</t>
  </si>
  <si>
    <t>Falda tableada azul denim H&amp;M</t>
  </si>
  <si>
    <t>Minifalda denim burdeo H&amp;M</t>
  </si>
  <si>
    <t>Shorts denim high gris oscuro H&amp;M</t>
  </si>
  <si>
    <t>Bermudas denim blanco H&amp;M</t>
  </si>
  <si>
    <t>Shorts denim con bastas deflecados negro lavado H&amp;M</t>
  </si>
  <si>
    <t>Shorts denim low rise azul denim H&amp;M</t>
  </si>
  <si>
    <t>Shorts denim con bastas deflecados rojo H&amp;M</t>
  </si>
  <si>
    <t>Shorts azul denim H&amp;M</t>
  </si>
  <si>
    <t>Shorts denim skinny high azul denim H&amp;M</t>
  </si>
  <si>
    <t>Talla XXL_18</t>
  </si>
  <si>
    <t>Talla XXL_16</t>
  </si>
  <si>
    <t>Shorts denim mom ultra high azul denim H&amp;M</t>
  </si>
  <si>
    <t>Shorts azul denim claro PLT</t>
  </si>
  <si>
    <t>Shorts en denim con cordón de ajuste azul denim claro H&amp;M</t>
  </si>
  <si>
    <t>Shorts denim con bastas deflecados marrón H&amp;M</t>
  </si>
  <si>
    <t>Shorts denim high waist azul denim claro H&amp;M</t>
  </si>
  <si>
    <t>Falda pantalón azul denim oscuro H&amp;M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</si>
</sst>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"/>
    <numFmt numFmtId="165" formatCode="0_);[Red]\(0\)"/>
    <numFmt numFmtId="166" formatCode="0.00_);[Red]\(0.00\)"/>
    <numFmt numFmtId="167" formatCode="_ [$$-540A]* #,##0.00_ ;_ [$$-540A]* \-#,##0.00_ ;_ [$$-540A]* &quot;-&quot;??_ ;_ @_ "/>
  </numFmts>
  <fonts count="3" x14ac:knownFonts="1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504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medium">
        <color rgb="FFC0504D"/>
      </left>
      <right/>
      <top style="medium">
        <color rgb="FFC0504D"/>
      </top>
      <bottom style="medium">
        <color auto="1"/>
      </bottom>
      <diagonal/>
    </border>
    <border>
      <left/>
      <right/>
      <top style="medium">
        <color rgb="FFC0504D"/>
      </top>
      <bottom style="medium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16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166" fontId="1" fillId="2" borderId="2" xfId="0" applyNumberFormat="1" applyFont="1" applyFill="1" applyBorder="1" applyAlignment="1">
      <alignment vertical="center" wrapText="1"/>
    </xf>
    <xf numFmtId="167" fontId="2" fillId="0" borderId="0" xfId="0" applyNumberFormat="1" applyFont="1"/>
    <xf numFmtId="0" fontId="2" fillId="0" borderId="0" xfId="0" applyFont="1"/>
    <xf numFmtId="0" fontId="2" fillId="3" borderId="0" xfId="0" applyFont="1" applyFill="1"/>
    <xf numFmtId="167" fontId="0" fillId="0" borderId="0" xfId="0" applyNumberFormat="1"/>
    <xf numFmtId="165" fontId="0" fillId="0" borderId="0" xfId="0" applyNumberFormat="1"/>
    <xf numFmtId="164" fontId="0" fillId="0" borderId="0" xfId="0" applyNumberFormat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477"/>
  <sheetViews>
    <sheetView tabSelected="1" workbookViewId="0">
      <pane ySplit="1" topLeftCell="A1429" activePane="bottomLeft" state="frozen"/>
      <selection pane="bottomLeft" activeCell="B1443" sqref="B1443"/>
    </sheetView>
  </sheetViews>
  <sheetFormatPr baseColWidth="10" defaultColWidth="11" defaultRowHeight="15" x14ac:dyDescent="0.2"/>
  <cols>
    <col min="2" max="2" width="28.33203125" customWidth="1"/>
    <col min="3" max="3" width="62.5" bestFit="1" customWidth="1"/>
    <col min="4" max="4" width="12.6640625" customWidth="1"/>
    <col min="10" max="10" width="12.6640625" customWidth="1"/>
    <col min="11" max="11" width="13.6640625" style="1" customWidth="1"/>
    <col min="12" max="12" width="11" style="1"/>
    <col min="13" max="13" width="12.83203125" style="1" customWidth="1"/>
    <col min="14" max="14" width="15.33203125" customWidth="1"/>
    <col min="16" max="16" width="16.1640625" customWidth="1"/>
  </cols>
  <sheetData>
    <row r="1" spans="1:16" ht="31.5" customHeight="1" x14ac:dyDescent="0.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5" t="s">
        <v>10</v>
      </c>
      <c r="L1" s="5" t="s">
        <v>11</v>
      </c>
      <c r="M1" s="5" t="s">
        <v>12</v>
      </c>
      <c r="N1" s="5" t="s">
        <v>13</v>
      </c>
    </row>
    <row r="2" spans="1:16" x14ac:dyDescent="0.2">
      <c r="A2" t="s">
        <v>14</v>
      </c>
      <c r="B2" s="4" t="s">
        <v>15</v>
      </c>
      <c r="C2" t="s">
        <v>16</v>
      </c>
      <c r="D2" t="s">
        <v>17</v>
      </c>
      <c r="G2">
        <v>1</v>
      </c>
      <c r="H2">
        <v>0</v>
      </c>
      <c r="I2">
        <f>G2-H2</f>
        <v>1</v>
      </c>
      <c r="K2" s="1">
        <v>8</v>
      </c>
      <c r="L2" s="1">
        <v>0</v>
      </c>
      <c r="M2" s="1">
        <f t="shared" ref="M2:M65" si="0">K2+L2</f>
        <v>8</v>
      </c>
      <c r="N2" s="11">
        <f>G2*K2</f>
        <v>8</v>
      </c>
      <c r="P2" s="4" t="s">
        <v>18</v>
      </c>
    </row>
    <row r="3" spans="1:16" x14ac:dyDescent="0.2">
      <c r="A3" t="s">
        <v>19</v>
      </c>
      <c r="B3" s="4" t="s">
        <v>15</v>
      </c>
      <c r="C3" t="s">
        <v>20</v>
      </c>
      <c r="D3" t="s">
        <v>17</v>
      </c>
      <c r="G3">
        <v>1</v>
      </c>
      <c r="H3">
        <v>0</v>
      </c>
      <c r="I3">
        <f t="shared" ref="I3:I34" si="1">G3-H3</f>
        <v>1</v>
      </c>
      <c r="K3" s="1">
        <v>8</v>
      </c>
      <c r="L3" s="1">
        <v>0</v>
      </c>
      <c r="M3" s="1">
        <f t="shared" si="0"/>
        <v>8</v>
      </c>
      <c r="N3" s="11">
        <f t="shared" ref="N3:N66" si="2">G3*K3</f>
        <v>8</v>
      </c>
      <c r="P3" s="4" t="s">
        <v>21</v>
      </c>
    </row>
    <row r="4" spans="1:16" x14ac:dyDescent="0.2">
      <c r="A4" t="s">
        <v>22</v>
      </c>
      <c r="B4" s="4" t="s">
        <v>15</v>
      </c>
      <c r="C4" t="s">
        <v>23</v>
      </c>
      <c r="D4" t="s">
        <v>17</v>
      </c>
      <c r="G4">
        <v>1</v>
      </c>
      <c r="H4">
        <v>0</v>
      </c>
      <c r="I4">
        <f t="shared" si="1"/>
        <v>1</v>
      </c>
      <c r="K4" s="1">
        <v>8</v>
      </c>
      <c r="L4" s="1">
        <v>0</v>
      </c>
      <c r="M4" s="1">
        <f t="shared" si="0"/>
        <v>8</v>
      </c>
      <c r="N4" s="11">
        <f t="shared" si="2"/>
        <v>8</v>
      </c>
      <c r="P4" s="4" t="s">
        <v>24</v>
      </c>
    </row>
    <row r="5" spans="1:16" x14ac:dyDescent="0.2">
      <c r="A5" t="s">
        <v>25</v>
      </c>
      <c r="B5" s="4" t="s">
        <v>15</v>
      </c>
      <c r="C5" t="s">
        <v>26</v>
      </c>
      <c r="D5" t="s">
        <v>27</v>
      </c>
      <c r="G5">
        <v>1</v>
      </c>
      <c r="H5">
        <v>0</v>
      </c>
      <c r="I5">
        <f t="shared" si="1"/>
        <v>1</v>
      </c>
      <c r="K5" s="1">
        <v>8</v>
      </c>
      <c r="L5" s="1">
        <v>0</v>
      </c>
      <c r="M5" s="1">
        <f t="shared" si="0"/>
        <v>8</v>
      </c>
      <c r="N5" s="11">
        <f t="shared" si="2"/>
        <v>8</v>
      </c>
      <c r="P5" s="4"/>
    </row>
    <row r="6" spans="1:16" x14ac:dyDescent="0.2">
      <c r="A6" t="s">
        <v>28</v>
      </c>
      <c r="B6" s="4" t="s">
        <v>15</v>
      </c>
      <c r="C6" t="s">
        <v>29</v>
      </c>
      <c r="D6" t="s">
        <v>17</v>
      </c>
      <c r="G6">
        <v>1</v>
      </c>
      <c r="H6">
        <v>0</v>
      </c>
      <c r="I6">
        <f t="shared" si="1"/>
        <v>1</v>
      </c>
      <c r="K6" s="1">
        <v>8</v>
      </c>
      <c r="L6" s="1">
        <v>0</v>
      </c>
      <c r="M6" s="1">
        <f t="shared" si="0"/>
        <v>8</v>
      </c>
      <c r="N6" s="11">
        <f t="shared" si="2"/>
        <v>8</v>
      </c>
      <c r="P6" s="4" t="s">
        <v>30</v>
      </c>
    </row>
    <row r="7" spans="1:16" x14ac:dyDescent="0.2">
      <c r="A7" t="s">
        <v>31</v>
      </c>
      <c r="B7" s="4" t="s">
        <v>32</v>
      </c>
      <c r="C7" t="s">
        <v>33</v>
      </c>
      <c r="D7" t="s">
        <v>34</v>
      </c>
      <c r="G7">
        <v>4</v>
      </c>
      <c r="H7">
        <v>0</v>
      </c>
      <c r="I7">
        <f t="shared" si="1"/>
        <v>4</v>
      </c>
      <c r="K7" s="1">
        <v>8</v>
      </c>
      <c r="L7" s="1">
        <v>0</v>
      </c>
      <c r="M7" s="1">
        <f t="shared" si="0"/>
        <v>8</v>
      </c>
      <c r="N7" s="11">
        <f t="shared" si="2"/>
        <v>32</v>
      </c>
      <c r="P7" s="4" t="s">
        <v>35</v>
      </c>
    </row>
    <row r="8" spans="1:16" x14ac:dyDescent="0.2">
      <c r="A8" t="s">
        <v>36</v>
      </c>
      <c r="B8" s="4" t="s">
        <v>32</v>
      </c>
      <c r="C8" t="s">
        <v>37</v>
      </c>
      <c r="D8" t="s">
        <v>34</v>
      </c>
      <c r="G8">
        <v>3</v>
      </c>
      <c r="H8">
        <v>0</v>
      </c>
      <c r="I8">
        <f t="shared" si="1"/>
        <v>3</v>
      </c>
      <c r="K8" s="1">
        <v>8</v>
      </c>
      <c r="L8" s="1">
        <v>0</v>
      </c>
      <c r="M8" s="1">
        <f t="shared" si="0"/>
        <v>8</v>
      </c>
      <c r="N8" s="11">
        <f t="shared" si="2"/>
        <v>24</v>
      </c>
      <c r="P8" s="4" t="s">
        <v>38</v>
      </c>
    </row>
    <row r="9" spans="1:16" x14ac:dyDescent="0.2">
      <c r="A9" t="s">
        <v>39</v>
      </c>
      <c r="B9" s="4" t="s">
        <v>32</v>
      </c>
      <c r="C9" t="s">
        <v>26</v>
      </c>
      <c r="D9" t="s">
        <v>34</v>
      </c>
      <c r="G9">
        <v>2</v>
      </c>
      <c r="H9">
        <v>0</v>
      </c>
      <c r="I9">
        <f t="shared" si="1"/>
        <v>2</v>
      </c>
      <c r="K9" s="1">
        <v>8</v>
      </c>
      <c r="L9" s="1">
        <v>0</v>
      </c>
      <c r="M9" s="1">
        <f t="shared" si="0"/>
        <v>8</v>
      </c>
      <c r="N9" s="11">
        <f t="shared" si="2"/>
        <v>16</v>
      </c>
      <c r="P9" s="4"/>
    </row>
    <row r="10" spans="1:16" x14ac:dyDescent="0.2">
      <c r="A10" t="s">
        <v>40</v>
      </c>
      <c r="B10" s="4" t="s">
        <v>15</v>
      </c>
      <c r="C10" t="s">
        <v>37</v>
      </c>
      <c r="D10" t="s">
        <v>17</v>
      </c>
      <c r="G10">
        <v>1</v>
      </c>
      <c r="H10">
        <v>0</v>
      </c>
      <c r="I10">
        <f t="shared" si="1"/>
        <v>1</v>
      </c>
      <c r="K10" s="1">
        <v>8</v>
      </c>
      <c r="L10" s="1">
        <v>0</v>
      </c>
      <c r="M10" s="1">
        <f t="shared" si="0"/>
        <v>8</v>
      </c>
      <c r="N10" s="11">
        <f t="shared" si="2"/>
        <v>8</v>
      </c>
      <c r="P10" s="4" t="s">
        <v>41</v>
      </c>
    </row>
    <row r="11" spans="1:16" x14ac:dyDescent="0.2">
      <c r="A11" t="s">
        <v>42</v>
      </c>
      <c r="B11" s="4" t="s">
        <v>32</v>
      </c>
      <c r="C11" t="s">
        <v>43</v>
      </c>
      <c r="D11" t="s">
        <v>34</v>
      </c>
      <c r="G11">
        <v>1</v>
      </c>
      <c r="H11">
        <v>0</v>
      </c>
      <c r="I11">
        <f t="shared" si="1"/>
        <v>1</v>
      </c>
      <c r="K11" s="1">
        <v>8</v>
      </c>
      <c r="L11" s="1">
        <v>0</v>
      </c>
      <c r="M11" s="1">
        <f t="shared" si="0"/>
        <v>8</v>
      </c>
      <c r="N11" s="11">
        <f t="shared" si="2"/>
        <v>8</v>
      </c>
      <c r="P11" s="4" t="s">
        <v>44</v>
      </c>
    </row>
    <row r="12" spans="1:16" x14ac:dyDescent="0.2">
      <c r="A12" t="s">
        <v>45</v>
      </c>
      <c r="B12" s="4" t="s">
        <v>32</v>
      </c>
      <c r="C12" t="s">
        <v>46</v>
      </c>
      <c r="D12" t="s">
        <v>34</v>
      </c>
      <c r="G12">
        <v>1</v>
      </c>
      <c r="H12">
        <v>0</v>
      </c>
      <c r="I12">
        <f t="shared" si="1"/>
        <v>1</v>
      </c>
      <c r="K12" s="1">
        <v>8</v>
      </c>
      <c r="L12" s="1">
        <v>0</v>
      </c>
      <c r="M12" s="1">
        <f t="shared" si="0"/>
        <v>8</v>
      </c>
      <c r="N12" s="11">
        <f t="shared" si="2"/>
        <v>8</v>
      </c>
      <c r="P12" s="4" t="s">
        <v>47</v>
      </c>
    </row>
    <row r="13" spans="1:16" x14ac:dyDescent="0.2">
      <c r="A13" t="s">
        <v>48</v>
      </c>
      <c r="B13" s="4" t="s">
        <v>32</v>
      </c>
      <c r="C13" t="s">
        <v>29</v>
      </c>
      <c r="D13" t="s">
        <v>34</v>
      </c>
      <c r="G13">
        <v>1</v>
      </c>
      <c r="H13">
        <v>0</v>
      </c>
      <c r="I13">
        <f t="shared" si="1"/>
        <v>1</v>
      </c>
      <c r="K13" s="1">
        <v>8</v>
      </c>
      <c r="L13" s="1">
        <v>0</v>
      </c>
      <c r="M13" s="1">
        <f t="shared" si="0"/>
        <v>8</v>
      </c>
      <c r="N13" s="11">
        <f t="shared" si="2"/>
        <v>8</v>
      </c>
      <c r="P13" s="4"/>
    </row>
    <row r="14" spans="1:16" x14ac:dyDescent="0.2">
      <c r="A14" t="s">
        <v>49</v>
      </c>
      <c r="B14" s="4" t="s">
        <v>32</v>
      </c>
      <c r="C14" t="s">
        <v>20</v>
      </c>
      <c r="D14" t="s">
        <v>34</v>
      </c>
      <c r="G14">
        <v>1</v>
      </c>
      <c r="H14">
        <v>0</v>
      </c>
      <c r="I14">
        <f t="shared" si="1"/>
        <v>1</v>
      </c>
      <c r="K14" s="1">
        <v>8</v>
      </c>
      <c r="L14" s="1">
        <v>0</v>
      </c>
      <c r="M14" s="1">
        <f t="shared" si="0"/>
        <v>8</v>
      </c>
      <c r="N14" s="11">
        <f t="shared" si="2"/>
        <v>8</v>
      </c>
      <c r="P14" s="4" t="s">
        <v>50</v>
      </c>
    </row>
    <row r="15" spans="1:16" x14ac:dyDescent="0.2">
      <c r="A15" t="s">
        <v>51</v>
      </c>
      <c r="B15" s="4" t="s">
        <v>32</v>
      </c>
      <c r="C15" t="s">
        <v>52</v>
      </c>
      <c r="D15" t="s">
        <v>34</v>
      </c>
      <c r="G15">
        <v>2</v>
      </c>
      <c r="H15">
        <v>0</v>
      </c>
      <c r="I15">
        <f t="shared" si="1"/>
        <v>2</v>
      </c>
      <c r="K15" s="1">
        <v>8</v>
      </c>
      <c r="L15" s="1">
        <v>0</v>
      </c>
      <c r="M15" s="1">
        <f t="shared" si="0"/>
        <v>8</v>
      </c>
      <c r="N15" s="11">
        <f t="shared" si="2"/>
        <v>16</v>
      </c>
      <c r="P15" s="4"/>
    </row>
    <row r="16" spans="1:16" x14ac:dyDescent="0.2">
      <c r="A16" t="s">
        <v>53</v>
      </c>
      <c r="B16" s="4" t="s">
        <v>32</v>
      </c>
      <c r="C16" t="s">
        <v>54</v>
      </c>
      <c r="D16" t="s">
        <v>34</v>
      </c>
      <c r="G16">
        <v>2</v>
      </c>
      <c r="H16">
        <v>0</v>
      </c>
      <c r="I16">
        <f t="shared" si="1"/>
        <v>2</v>
      </c>
      <c r="K16" s="1">
        <v>8</v>
      </c>
      <c r="L16" s="1">
        <v>0</v>
      </c>
      <c r="M16" s="1">
        <f t="shared" si="0"/>
        <v>8</v>
      </c>
      <c r="N16" s="11">
        <f t="shared" si="2"/>
        <v>16</v>
      </c>
      <c r="P16" s="4" t="s">
        <v>55</v>
      </c>
    </row>
    <row r="17" spans="1:16" x14ac:dyDescent="0.2">
      <c r="A17" t="s">
        <v>56</v>
      </c>
      <c r="B17" s="4" t="s">
        <v>32</v>
      </c>
      <c r="C17" t="s">
        <v>57</v>
      </c>
      <c r="D17" t="s">
        <v>34</v>
      </c>
      <c r="G17">
        <v>3</v>
      </c>
      <c r="H17">
        <v>0</v>
      </c>
      <c r="I17">
        <f t="shared" si="1"/>
        <v>3</v>
      </c>
      <c r="K17" s="1">
        <v>8</v>
      </c>
      <c r="L17" s="1">
        <v>0</v>
      </c>
      <c r="M17" s="1">
        <f t="shared" si="0"/>
        <v>8</v>
      </c>
      <c r="N17" s="11">
        <f t="shared" si="2"/>
        <v>24</v>
      </c>
      <c r="P17" s="4"/>
    </row>
    <row r="18" spans="1:16" x14ac:dyDescent="0.2">
      <c r="A18" t="s">
        <v>58</v>
      </c>
      <c r="B18" s="4" t="s">
        <v>32</v>
      </c>
      <c r="C18" t="s">
        <v>59</v>
      </c>
      <c r="D18" t="s">
        <v>34</v>
      </c>
      <c r="G18">
        <v>1</v>
      </c>
      <c r="H18">
        <v>0</v>
      </c>
      <c r="I18">
        <f t="shared" si="1"/>
        <v>1</v>
      </c>
      <c r="K18" s="1">
        <v>8</v>
      </c>
      <c r="L18" s="1">
        <v>0</v>
      </c>
      <c r="M18" s="1">
        <f t="shared" si="0"/>
        <v>8</v>
      </c>
      <c r="N18" s="11">
        <f t="shared" si="2"/>
        <v>8</v>
      </c>
      <c r="P18" s="4" t="s">
        <v>60</v>
      </c>
    </row>
    <row r="19" spans="1:16" x14ac:dyDescent="0.2">
      <c r="A19" t="s">
        <v>61</v>
      </c>
      <c r="B19" s="4" t="s">
        <v>15</v>
      </c>
      <c r="C19" t="s">
        <v>62</v>
      </c>
      <c r="D19" t="s">
        <v>17</v>
      </c>
      <c r="G19">
        <v>1</v>
      </c>
      <c r="H19">
        <v>0</v>
      </c>
      <c r="I19">
        <f t="shared" si="1"/>
        <v>1</v>
      </c>
      <c r="K19" s="1">
        <v>8</v>
      </c>
      <c r="L19" s="1">
        <v>0</v>
      </c>
      <c r="M19" s="1">
        <f t="shared" si="0"/>
        <v>8</v>
      </c>
      <c r="N19" s="11">
        <f t="shared" si="2"/>
        <v>8</v>
      </c>
      <c r="P19" s="4"/>
    </row>
    <row r="20" spans="1:16" x14ac:dyDescent="0.2">
      <c r="A20" t="s">
        <v>63</v>
      </c>
      <c r="B20" s="4" t="s">
        <v>32</v>
      </c>
      <c r="C20" t="s">
        <v>64</v>
      </c>
      <c r="D20" t="s">
        <v>34</v>
      </c>
      <c r="G20">
        <v>1</v>
      </c>
      <c r="H20">
        <v>0</v>
      </c>
      <c r="I20">
        <f t="shared" si="1"/>
        <v>1</v>
      </c>
      <c r="K20" s="1">
        <v>8</v>
      </c>
      <c r="L20" s="1">
        <v>0</v>
      </c>
      <c r="M20" s="1">
        <f t="shared" si="0"/>
        <v>8</v>
      </c>
      <c r="N20" s="11">
        <f t="shared" si="2"/>
        <v>8</v>
      </c>
      <c r="P20" s="4" t="s">
        <v>65</v>
      </c>
    </row>
    <row r="21" spans="1:16" x14ac:dyDescent="0.2">
      <c r="A21" t="s">
        <v>66</v>
      </c>
      <c r="B21" s="4" t="s">
        <v>32</v>
      </c>
      <c r="C21" t="s">
        <v>67</v>
      </c>
      <c r="D21" t="s">
        <v>34</v>
      </c>
      <c r="G21">
        <v>1</v>
      </c>
      <c r="H21">
        <v>0</v>
      </c>
      <c r="I21">
        <f t="shared" si="1"/>
        <v>1</v>
      </c>
      <c r="K21" s="1">
        <v>8</v>
      </c>
      <c r="L21" s="1">
        <v>0</v>
      </c>
      <c r="M21" s="1">
        <f t="shared" si="0"/>
        <v>8</v>
      </c>
      <c r="N21" s="11">
        <f t="shared" si="2"/>
        <v>8</v>
      </c>
      <c r="P21" s="4" t="s">
        <v>68</v>
      </c>
    </row>
    <row r="22" spans="1:16" x14ac:dyDescent="0.2">
      <c r="A22" t="s">
        <v>69</v>
      </c>
      <c r="B22" s="4" t="s">
        <v>15</v>
      </c>
      <c r="C22" t="s">
        <v>70</v>
      </c>
      <c r="D22" t="s">
        <v>71</v>
      </c>
      <c r="G22">
        <v>1</v>
      </c>
      <c r="H22">
        <v>0</v>
      </c>
      <c r="I22">
        <f t="shared" si="1"/>
        <v>1</v>
      </c>
      <c r="K22" s="1">
        <v>8</v>
      </c>
      <c r="L22" s="1">
        <v>0</v>
      </c>
      <c r="M22" s="1">
        <f t="shared" si="0"/>
        <v>8</v>
      </c>
      <c r="N22" s="11">
        <f t="shared" si="2"/>
        <v>8</v>
      </c>
      <c r="P22" s="4" t="s">
        <v>72</v>
      </c>
    </row>
    <row r="23" spans="1:16" x14ac:dyDescent="0.2">
      <c r="A23" t="s">
        <v>73</v>
      </c>
      <c r="B23" s="4" t="s">
        <v>15</v>
      </c>
      <c r="C23" t="s">
        <v>74</v>
      </c>
      <c r="D23" t="s">
        <v>71</v>
      </c>
      <c r="G23">
        <v>1</v>
      </c>
      <c r="H23">
        <v>0</v>
      </c>
      <c r="I23">
        <f t="shared" si="1"/>
        <v>1</v>
      </c>
      <c r="K23" s="1">
        <v>8</v>
      </c>
      <c r="L23" s="1">
        <v>0</v>
      </c>
      <c r="M23" s="1">
        <f t="shared" si="0"/>
        <v>8</v>
      </c>
      <c r="N23" s="11">
        <f t="shared" si="2"/>
        <v>8</v>
      </c>
      <c r="P23" s="4"/>
    </row>
    <row r="24" spans="1:16" x14ac:dyDescent="0.2">
      <c r="A24" t="s">
        <v>75</v>
      </c>
      <c r="B24" s="4" t="s">
        <v>32</v>
      </c>
      <c r="C24" t="s">
        <v>76</v>
      </c>
      <c r="D24" t="s">
        <v>34</v>
      </c>
      <c r="G24">
        <v>1</v>
      </c>
      <c r="H24">
        <v>0</v>
      </c>
      <c r="I24">
        <f t="shared" si="1"/>
        <v>1</v>
      </c>
      <c r="K24" s="1">
        <v>8</v>
      </c>
      <c r="L24" s="1">
        <v>0</v>
      </c>
      <c r="M24" s="1">
        <f t="shared" si="0"/>
        <v>8</v>
      </c>
      <c r="N24" s="11">
        <f t="shared" si="2"/>
        <v>8</v>
      </c>
      <c r="P24" s="4"/>
    </row>
    <row r="25" spans="1:16" x14ac:dyDescent="0.2">
      <c r="A25" t="s">
        <v>77</v>
      </c>
      <c r="B25" s="4" t="s">
        <v>32</v>
      </c>
      <c r="C25" t="s">
        <v>78</v>
      </c>
      <c r="D25" t="s">
        <v>34</v>
      </c>
      <c r="G25">
        <v>1</v>
      </c>
      <c r="H25">
        <v>0</v>
      </c>
      <c r="I25">
        <f t="shared" si="1"/>
        <v>1</v>
      </c>
      <c r="K25" s="1">
        <v>8</v>
      </c>
      <c r="L25" s="1">
        <v>0</v>
      </c>
      <c r="M25" s="1">
        <f t="shared" si="0"/>
        <v>8</v>
      </c>
      <c r="N25" s="11">
        <f t="shared" si="2"/>
        <v>8</v>
      </c>
      <c r="P25" s="4" t="s">
        <v>79</v>
      </c>
    </row>
    <row r="26" spans="1:16" x14ac:dyDescent="0.2">
      <c r="A26" t="s">
        <v>80</v>
      </c>
      <c r="B26" s="4" t="s">
        <v>32</v>
      </c>
      <c r="C26" t="s">
        <v>81</v>
      </c>
      <c r="D26" t="s">
        <v>34</v>
      </c>
      <c r="G26">
        <v>1</v>
      </c>
      <c r="H26">
        <v>0</v>
      </c>
      <c r="I26">
        <f t="shared" si="1"/>
        <v>1</v>
      </c>
      <c r="K26" s="1">
        <v>8</v>
      </c>
      <c r="L26" s="1">
        <v>0</v>
      </c>
      <c r="M26" s="1">
        <f t="shared" si="0"/>
        <v>8</v>
      </c>
      <c r="N26" s="11">
        <f t="shared" si="2"/>
        <v>8</v>
      </c>
      <c r="P26" s="4"/>
    </row>
    <row r="27" spans="1:16" x14ac:dyDescent="0.2">
      <c r="A27" t="s">
        <v>82</v>
      </c>
      <c r="B27" s="4" t="s">
        <v>32</v>
      </c>
      <c r="C27" t="s">
        <v>83</v>
      </c>
      <c r="D27" t="s">
        <v>34</v>
      </c>
      <c r="G27">
        <v>1</v>
      </c>
      <c r="H27">
        <v>0</v>
      </c>
      <c r="I27">
        <f t="shared" si="1"/>
        <v>1</v>
      </c>
      <c r="K27" s="1">
        <v>8</v>
      </c>
      <c r="L27" s="1">
        <v>0</v>
      </c>
      <c r="M27" s="1">
        <f t="shared" si="0"/>
        <v>8</v>
      </c>
      <c r="N27" s="11">
        <f t="shared" si="2"/>
        <v>8</v>
      </c>
      <c r="P27" s="4" t="s">
        <v>84</v>
      </c>
    </row>
    <row r="28" spans="1:16" x14ac:dyDescent="0.2">
      <c r="A28" t="s">
        <v>85</v>
      </c>
      <c r="B28" s="4" t="s">
        <v>15</v>
      </c>
      <c r="C28" t="s">
        <v>37</v>
      </c>
      <c r="D28" t="s">
        <v>27</v>
      </c>
      <c r="G28">
        <v>1</v>
      </c>
      <c r="H28">
        <v>0</v>
      </c>
      <c r="I28">
        <f t="shared" si="1"/>
        <v>1</v>
      </c>
      <c r="K28" s="1">
        <v>8</v>
      </c>
      <c r="L28" s="1">
        <v>0</v>
      </c>
      <c r="M28" s="1">
        <f t="shared" si="0"/>
        <v>8</v>
      </c>
      <c r="N28" s="11">
        <f t="shared" si="2"/>
        <v>8</v>
      </c>
      <c r="P28" s="4" t="s">
        <v>41</v>
      </c>
    </row>
    <row r="29" spans="1:16" x14ac:dyDescent="0.2">
      <c r="A29" t="s">
        <v>86</v>
      </c>
      <c r="B29" s="4" t="s">
        <v>32</v>
      </c>
      <c r="C29" t="s">
        <v>87</v>
      </c>
      <c r="D29" t="s">
        <v>34</v>
      </c>
      <c r="G29">
        <v>1</v>
      </c>
      <c r="H29">
        <v>0</v>
      </c>
      <c r="I29">
        <f t="shared" si="1"/>
        <v>1</v>
      </c>
      <c r="K29" s="1">
        <v>8</v>
      </c>
      <c r="L29" s="1">
        <v>0</v>
      </c>
      <c r="M29" s="1">
        <f t="shared" si="0"/>
        <v>8</v>
      </c>
      <c r="N29" s="11">
        <f t="shared" si="2"/>
        <v>8</v>
      </c>
      <c r="P29" s="4" t="s">
        <v>88</v>
      </c>
    </row>
    <row r="30" spans="1:16" x14ac:dyDescent="0.2">
      <c r="A30" t="s">
        <v>89</v>
      </c>
      <c r="B30" s="4" t="s">
        <v>90</v>
      </c>
      <c r="C30" t="s">
        <v>57</v>
      </c>
      <c r="D30" t="s">
        <v>91</v>
      </c>
      <c r="G30">
        <v>1</v>
      </c>
      <c r="H30">
        <v>0</v>
      </c>
      <c r="I30">
        <f t="shared" si="1"/>
        <v>1</v>
      </c>
      <c r="K30" s="1">
        <v>8</v>
      </c>
      <c r="L30" s="1">
        <v>0</v>
      </c>
      <c r="M30" s="1">
        <f t="shared" si="0"/>
        <v>8</v>
      </c>
      <c r="N30" s="11">
        <f t="shared" si="2"/>
        <v>8</v>
      </c>
      <c r="P30" t="s">
        <v>92</v>
      </c>
    </row>
    <row r="31" spans="1:16" x14ac:dyDescent="0.2">
      <c r="B31" s="4" t="s">
        <v>90</v>
      </c>
      <c r="C31" t="s">
        <v>43</v>
      </c>
      <c r="D31" t="s">
        <v>91</v>
      </c>
      <c r="G31">
        <v>1</v>
      </c>
      <c r="H31">
        <v>0</v>
      </c>
      <c r="I31">
        <f t="shared" si="1"/>
        <v>1</v>
      </c>
      <c r="K31" s="1">
        <v>8</v>
      </c>
      <c r="L31" s="1">
        <v>0</v>
      </c>
      <c r="M31" s="1">
        <f t="shared" si="0"/>
        <v>8</v>
      </c>
      <c r="N31" s="11">
        <f t="shared" si="2"/>
        <v>8</v>
      </c>
    </row>
    <row r="32" spans="1:16" x14ac:dyDescent="0.2">
      <c r="B32" t="s">
        <v>93</v>
      </c>
      <c r="C32" t="s">
        <v>94</v>
      </c>
      <c r="D32" t="s">
        <v>95</v>
      </c>
      <c r="G32">
        <v>5</v>
      </c>
      <c r="H32">
        <v>0</v>
      </c>
      <c r="I32">
        <f t="shared" si="1"/>
        <v>5</v>
      </c>
      <c r="K32" s="1">
        <v>10</v>
      </c>
      <c r="L32" s="1">
        <v>0</v>
      </c>
      <c r="M32" s="1">
        <f t="shared" si="0"/>
        <v>10</v>
      </c>
      <c r="N32" s="11">
        <f t="shared" si="2"/>
        <v>50</v>
      </c>
    </row>
    <row r="33" spans="2:14" x14ac:dyDescent="0.2">
      <c r="B33" t="s">
        <v>96</v>
      </c>
      <c r="C33" t="s">
        <v>94</v>
      </c>
      <c r="D33" t="s">
        <v>97</v>
      </c>
      <c r="G33">
        <v>1</v>
      </c>
      <c r="H33">
        <v>1</v>
      </c>
      <c r="I33">
        <f t="shared" si="1"/>
        <v>0</v>
      </c>
      <c r="K33" s="1">
        <v>10</v>
      </c>
      <c r="L33" s="1">
        <v>0</v>
      </c>
      <c r="M33" s="1">
        <f t="shared" si="0"/>
        <v>10</v>
      </c>
      <c r="N33" s="11">
        <f t="shared" si="2"/>
        <v>10</v>
      </c>
    </row>
    <row r="34" spans="2:14" x14ac:dyDescent="0.2">
      <c r="B34" t="s">
        <v>93</v>
      </c>
      <c r="C34" t="s">
        <v>98</v>
      </c>
      <c r="D34" t="s">
        <v>91</v>
      </c>
      <c r="G34">
        <v>6</v>
      </c>
      <c r="H34">
        <v>0</v>
      </c>
      <c r="I34">
        <f t="shared" si="1"/>
        <v>6</v>
      </c>
      <c r="K34" s="1">
        <v>10</v>
      </c>
      <c r="L34" s="1">
        <v>0</v>
      </c>
      <c r="M34" s="1">
        <f t="shared" si="0"/>
        <v>10</v>
      </c>
      <c r="N34" s="11">
        <f t="shared" si="2"/>
        <v>60</v>
      </c>
    </row>
    <row r="35" spans="2:14" x14ac:dyDescent="0.2">
      <c r="B35" t="s">
        <v>99</v>
      </c>
      <c r="C35" t="s">
        <v>98</v>
      </c>
      <c r="D35" t="s">
        <v>34</v>
      </c>
      <c r="G35">
        <v>2</v>
      </c>
      <c r="H35">
        <v>2</v>
      </c>
      <c r="I35">
        <f t="shared" ref="I35:I66" si="3">G35-H35</f>
        <v>0</v>
      </c>
      <c r="K35" s="1">
        <v>10</v>
      </c>
      <c r="L35" s="1">
        <v>0</v>
      </c>
      <c r="M35" s="1">
        <f t="shared" si="0"/>
        <v>10</v>
      </c>
      <c r="N35" s="11">
        <f t="shared" si="2"/>
        <v>20</v>
      </c>
    </row>
    <row r="36" spans="2:14" x14ac:dyDescent="0.2">
      <c r="B36" t="s">
        <v>93</v>
      </c>
      <c r="C36" t="s">
        <v>94</v>
      </c>
      <c r="D36" t="s">
        <v>91</v>
      </c>
      <c r="G36">
        <v>1</v>
      </c>
      <c r="H36">
        <v>0</v>
      </c>
      <c r="I36">
        <f t="shared" si="3"/>
        <v>1</v>
      </c>
      <c r="K36" s="1">
        <v>10</v>
      </c>
      <c r="L36" s="1">
        <v>0</v>
      </c>
      <c r="M36" s="1">
        <f t="shared" si="0"/>
        <v>10</v>
      </c>
      <c r="N36" s="11">
        <f t="shared" si="2"/>
        <v>10</v>
      </c>
    </row>
    <row r="37" spans="2:14" x14ac:dyDescent="0.2">
      <c r="B37" t="s">
        <v>96</v>
      </c>
      <c r="C37" t="s">
        <v>98</v>
      </c>
      <c r="D37" t="s">
        <v>97</v>
      </c>
      <c r="G37">
        <v>1</v>
      </c>
      <c r="H37">
        <v>0</v>
      </c>
      <c r="I37">
        <f t="shared" si="3"/>
        <v>1</v>
      </c>
      <c r="K37" s="1">
        <v>10</v>
      </c>
      <c r="L37" s="1">
        <v>0</v>
      </c>
      <c r="M37" s="1">
        <f t="shared" si="0"/>
        <v>10</v>
      </c>
      <c r="N37" s="11">
        <f t="shared" si="2"/>
        <v>10</v>
      </c>
    </row>
    <row r="38" spans="2:14" x14ac:dyDescent="0.2">
      <c r="B38" t="s">
        <v>93</v>
      </c>
      <c r="C38" t="s">
        <v>100</v>
      </c>
      <c r="D38" t="s">
        <v>91</v>
      </c>
      <c r="G38">
        <v>1</v>
      </c>
      <c r="H38">
        <v>0</v>
      </c>
      <c r="I38">
        <f t="shared" si="3"/>
        <v>1</v>
      </c>
      <c r="K38" s="1">
        <v>10</v>
      </c>
      <c r="L38" s="1">
        <v>0</v>
      </c>
      <c r="M38" s="1">
        <f t="shared" si="0"/>
        <v>10</v>
      </c>
      <c r="N38" s="11">
        <f t="shared" si="2"/>
        <v>10</v>
      </c>
    </row>
    <row r="39" spans="2:14" x14ac:dyDescent="0.2">
      <c r="B39" t="s">
        <v>93</v>
      </c>
      <c r="C39" t="s">
        <v>101</v>
      </c>
      <c r="D39" t="s">
        <v>102</v>
      </c>
      <c r="G39">
        <v>1</v>
      </c>
      <c r="H39">
        <v>0</v>
      </c>
      <c r="I39">
        <f t="shared" si="3"/>
        <v>1</v>
      </c>
      <c r="K39" s="1">
        <v>10</v>
      </c>
      <c r="L39" s="1">
        <v>0</v>
      </c>
      <c r="M39" s="1">
        <f t="shared" si="0"/>
        <v>10</v>
      </c>
      <c r="N39" s="11">
        <f t="shared" si="2"/>
        <v>10</v>
      </c>
    </row>
    <row r="40" spans="2:14" x14ac:dyDescent="0.2">
      <c r="B40" t="s">
        <v>93</v>
      </c>
      <c r="C40" t="s">
        <v>103</v>
      </c>
      <c r="D40" t="s">
        <v>91</v>
      </c>
      <c r="G40">
        <v>1</v>
      </c>
      <c r="H40">
        <v>0</v>
      </c>
      <c r="I40">
        <f t="shared" si="3"/>
        <v>1</v>
      </c>
      <c r="K40" s="1">
        <v>10</v>
      </c>
      <c r="L40" s="1">
        <v>0</v>
      </c>
      <c r="M40" s="1">
        <f t="shared" si="0"/>
        <v>10</v>
      </c>
      <c r="N40" s="11">
        <f t="shared" si="2"/>
        <v>10</v>
      </c>
    </row>
    <row r="41" spans="2:14" x14ac:dyDescent="0.2">
      <c r="B41" t="s">
        <v>99</v>
      </c>
      <c r="C41" t="s">
        <v>103</v>
      </c>
      <c r="D41" t="s">
        <v>17</v>
      </c>
      <c r="G41">
        <v>1</v>
      </c>
      <c r="H41">
        <v>1</v>
      </c>
      <c r="I41">
        <f t="shared" si="3"/>
        <v>0</v>
      </c>
      <c r="K41" s="1">
        <v>10</v>
      </c>
      <c r="L41" s="1">
        <v>0</v>
      </c>
      <c r="M41" s="1">
        <f t="shared" si="0"/>
        <v>10</v>
      </c>
      <c r="N41" s="11">
        <f t="shared" si="2"/>
        <v>10</v>
      </c>
    </row>
    <row r="42" spans="2:14" x14ac:dyDescent="0.2">
      <c r="B42" t="s">
        <v>96</v>
      </c>
      <c r="C42" t="s">
        <v>103</v>
      </c>
      <c r="D42" t="s">
        <v>97</v>
      </c>
      <c r="G42">
        <v>2</v>
      </c>
      <c r="H42">
        <v>2</v>
      </c>
      <c r="I42">
        <f t="shared" si="3"/>
        <v>0</v>
      </c>
      <c r="K42" s="1">
        <v>10</v>
      </c>
      <c r="L42" s="1">
        <v>0</v>
      </c>
      <c r="M42" s="1">
        <f t="shared" si="0"/>
        <v>10</v>
      </c>
      <c r="N42" s="11">
        <f t="shared" si="2"/>
        <v>20</v>
      </c>
    </row>
    <row r="43" spans="2:14" x14ac:dyDescent="0.2">
      <c r="B43" t="s">
        <v>93</v>
      </c>
      <c r="C43" t="s">
        <v>104</v>
      </c>
      <c r="D43" t="s">
        <v>91</v>
      </c>
      <c r="G43">
        <v>1</v>
      </c>
      <c r="H43">
        <v>0</v>
      </c>
      <c r="I43">
        <f t="shared" si="3"/>
        <v>1</v>
      </c>
      <c r="K43" s="1">
        <v>10</v>
      </c>
      <c r="L43" s="1">
        <v>0</v>
      </c>
      <c r="M43" s="1">
        <f t="shared" si="0"/>
        <v>10</v>
      </c>
      <c r="N43" s="11">
        <f t="shared" si="2"/>
        <v>10</v>
      </c>
    </row>
    <row r="44" spans="2:14" x14ac:dyDescent="0.2">
      <c r="B44" t="s">
        <v>93</v>
      </c>
      <c r="C44" t="s">
        <v>105</v>
      </c>
      <c r="D44" t="s">
        <v>91</v>
      </c>
      <c r="G44">
        <v>1</v>
      </c>
      <c r="H44">
        <v>0</v>
      </c>
      <c r="I44">
        <f t="shared" si="3"/>
        <v>1</v>
      </c>
      <c r="K44" s="1">
        <v>10</v>
      </c>
      <c r="L44" s="1">
        <v>0</v>
      </c>
      <c r="M44" s="1">
        <f t="shared" si="0"/>
        <v>10</v>
      </c>
      <c r="N44" s="11">
        <f t="shared" si="2"/>
        <v>10</v>
      </c>
    </row>
    <row r="45" spans="2:14" x14ac:dyDescent="0.2">
      <c r="B45" t="s">
        <v>93</v>
      </c>
      <c r="C45" t="s">
        <v>106</v>
      </c>
      <c r="D45" t="s">
        <v>91</v>
      </c>
      <c r="G45">
        <v>2</v>
      </c>
      <c r="H45">
        <v>0</v>
      </c>
      <c r="I45">
        <f t="shared" si="3"/>
        <v>2</v>
      </c>
      <c r="K45" s="1">
        <v>10</v>
      </c>
      <c r="L45" s="1">
        <v>0</v>
      </c>
      <c r="M45" s="1">
        <f t="shared" si="0"/>
        <v>10</v>
      </c>
      <c r="N45" s="11">
        <f t="shared" si="2"/>
        <v>20</v>
      </c>
    </row>
    <row r="46" spans="2:14" x14ac:dyDescent="0.2">
      <c r="B46" t="s">
        <v>93</v>
      </c>
      <c r="C46" t="s">
        <v>107</v>
      </c>
      <c r="D46" t="s">
        <v>91</v>
      </c>
      <c r="G46">
        <v>1</v>
      </c>
      <c r="H46">
        <v>0</v>
      </c>
      <c r="I46">
        <f t="shared" si="3"/>
        <v>1</v>
      </c>
      <c r="K46" s="1">
        <v>10</v>
      </c>
      <c r="L46" s="1">
        <v>0</v>
      </c>
      <c r="M46" s="1">
        <f t="shared" si="0"/>
        <v>10</v>
      </c>
      <c r="N46" s="11">
        <f t="shared" si="2"/>
        <v>10</v>
      </c>
    </row>
    <row r="47" spans="2:14" x14ac:dyDescent="0.2">
      <c r="B47" t="s">
        <v>93</v>
      </c>
      <c r="C47" t="s">
        <v>104</v>
      </c>
      <c r="D47" t="s">
        <v>95</v>
      </c>
      <c r="G47">
        <v>1</v>
      </c>
      <c r="H47">
        <v>0</v>
      </c>
      <c r="I47">
        <f t="shared" si="3"/>
        <v>1</v>
      </c>
      <c r="K47" s="1">
        <v>10</v>
      </c>
      <c r="L47" s="1">
        <v>0</v>
      </c>
      <c r="M47" s="1">
        <f t="shared" si="0"/>
        <v>10</v>
      </c>
      <c r="N47" s="11">
        <f t="shared" si="2"/>
        <v>10</v>
      </c>
    </row>
    <row r="48" spans="2:14" x14ac:dyDescent="0.2">
      <c r="B48" t="s">
        <v>93</v>
      </c>
      <c r="C48" t="s">
        <v>108</v>
      </c>
      <c r="D48" t="s">
        <v>109</v>
      </c>
      <c r="G48">
        <v>1</v>
      </c>
      <c r="H48">
        <v>0</v>
      </c>
      <c r="I48">
        <f t="shared" si="3"/>
        <v>1</v>
      </c>
      <c r="K48" s="1">
        <v>10</v>
      </c>
      <c r="L48" s="1">
        <v>0</v>
      </c>
      <c r="M48" s="1">
        <f t="shared" si="0"/>
        <v>10</v>
      </c>
      <c r="N48" s="11">
        <f t="shared" si="2"/>
        <v>10</v>
      </c>
    </row>
    <row r="49" spans="2:14" x14ac:dyDescent="0.2">
      <c r="B49" t="s">
        <v>110</v>
      </c>
      <c r="C49" t="s">
        <v>111</v>
      </c>
      <c r="D49" t="s">
        <v>91</v>
      </c>
      <c r="G49">
        <v>2</v>
      </c>
      <c r="H49">
        <v>0</v>
      </c>
      <c r="I49">
        <f t="shared" si="3"/>
        <v>2</v>
      </c>
      <c r="K49" s="1">
        <v>10</v>
      </c>
      <c r="L49" s="1">
        <v>0</v>
      </c>
      <c r="M49" s="1">
        <f t="shared" si="0"/>
        <v>10</v>
      </c>
      <c r="N49" s="11">
        <f t="shared" si="2"/>
        <v>20</v>
      </c>
    </row>
    <row r="50" spans="2:14" x14ac:dyDescent="0.2">
      <c r="B50" t="s">
        <v>112</v>
      </c>
      <c r="C50" t="s">
        <v>113</v>
      </c>
      <c r="D50" t="s">
        <v>97</v>
      </c>
      <c r="G50">
        <v>3</v>
      </c>
      <c r="H50">
        <v>0</v>
      </c>
      <c r="I50">
        <f t="shared" si="3"/>
        <v>3</v>
      </c>
      <c r="K50" s="1">
        <v>10</v>
      </c>
      <c r="L50" s="1">
        <v>0</v>
      </c>
      <c r="M50" s="1">
        <f t="shared" si="0"/>
        <v>10</v>
      </c>
      <c r="N50" s="11">
        <f t="shared" si="2"/>
        <v>30</v>
      </c>
    </row>
    <row r="51" spans="2:14" x14ac:dyDescent="0.2">
      <c r="B51" t="s">
        <v>112</v>
      </c>
      <c r="C51" t="s">
        <v>114</v>
      </c>
      <c r="D51" t="s">
        <v>97</v>
      </c>
      <c r="G51">
        <v>12</v>
      </c>
      <c r="H51">
        <v>0</v>
      </c>
      <c r="I51">
        <f t="shared" si="3"/>
        <v>12</v>
      </c>
      <c r="K51" s="1">
        <v>10</v>
      </c>
      <c r="L51" s="1">
        <v>0</v>
      </c>
      <c r="M51" s="1">
        <f t="shared" si="0"/>
        <v>10</v>
      </c>
      <c r="N51" s="11">
        <f t="shared" si="2"/>
        <v>120</v>
      </c>
    </row>
    <row r="52" spans="2:14" x14ac:dyDescent="0.2">
      <c r="B52" t="s">
        <v>110</v>
      </c>
      <c r="C52" t="s">
        <v>113</v>
      </c>
      <c r="D52" t="s">
        <v>91</v>
      </c>
      <c r="G52">
        <v>9</v>
      </c>
      <c r="H52">
        <v>0</v>
      </c>
      <c r="I52">
        <f>G52-F5451</f>
        <v>9</v>
      </c>
      <c r="K52" s="1">
        <v>10</v>
      </c>
      <c r="L52" s="1">
        <v>0</v>
      </c>
      <c r="M52" s="1">
        <f t="shared" si="0"/>
        <v>10</v>
      </c>
      <c r="N52" s="11">
        <f t="shared" si="2"/>
        <v>90</v>
      </c>
    </row>
    <row r="53" spans="2:14" x14ac:dyDescent="0.2">
      <c r="B53" t="s">
        <v>110</v>
      </c>
      <c r="C53" t="s">
        <v>115</v>
      </c>
      <c r="D53" t="s">
        <v>91</v>
      </c>
      <c r="G53">
        <v>4</v>
      </c>
      <c r="H53">
        <v>0</v>
      </c>
      <c r="I53">
        <f t="shared" si="3"/>
        <v>4</v>
      </c>
      <c r="K53" s="1">
        <v>10</v>
      </c>
      <c r="L53" s="1">
        <v>0</v>
      </c>
      <c r="M53" s="1">
        <f t="shared" si="0"/>
        <v>10</v>
      </c>
      <c r="N53" s="11">
        <f t="shared" si="2"/>
        <v>40</v>
      </c>
    </row>
    <row r="54" spans="2:14" x14ac:dyDescent="0.2">
      <c r="B54" t="s">
        <v>110</v>
      </c>
      <c r="C54" t="s">
        <v>116</v>
      </c>
      <c r="D54" t="s">
        <v>91</v>
      </c>
      <c r="G54">
        <v>1</v>
      </c>
      <c r="H54">
        <v>0</v>
      </c>
      <c r="I54">
        <f t="shared" si="3"/>
        <v>1</v>
      </c>
      <c r="K54" s="1">
        <v>10</v>
      </c>
      <c r="L54" s="1">
        <v>0</v>
      </c>
      <c r="M54" s="1">
        <f t="shared" si="0"/>
        <v>10</v>
      </c>
      <c r="N54" s="11">
        <f t="shared" si="2"/>
        <v>10</v>
      </c>
    </row>
    <row r="55" spans="2:14" x14ac:dyDescent="0.2">
      <c r="B55" t="s">
        <v>110</v>
      </c>
      <c r="C55" t="s">
        <v>114</v>
      </c>
      <c r="D55" t="s">
        <v>91</v>
      </c>
      <c r="G55">
        <v>1</v>
      </c>
      <c r="H55">
        <v>0</v>
      </c>
      <c r="I55">
        <f t="shared" si="3"/>
        <v>1</v>
      </c>
      <c r="K55" s="1">
        <v>10</v>
      </c>
      <c r="L55" s="1">
        <v>0</v>
      </c>
      <c r="M55" s="1">
        <f t="shared" si="0"/>
        <v>10</v>
      </c>
      <c r="N55" s="11">
        <f t="shared" si="2"/>
        <v>10</v>
      </c>
    </row>
    <row r="56" spans="2:14" x14ac:dyDescent="0.2">
      <c r="B56" t="s">
        <v>110</v>
      </c>
      <c r="C56" t="s">
        <v>117</v>
      </c>
      <c r="D56" t="s">
        <v>91</v>
      </c>
      <c r="G56">
        <v>3</v>
      </c>
      <c r="H56">
        <v>0</v>
      </c>
      <c r="I56">
        <f t="shared" si="3"/>
        <v>3</v>
      </c>
      <c r="K56" s="1">
        <v>10</v>
      </c>
      <c r="L56" s="1">
        <v>0</v>
      </c>
      <c r="M56" s="1">
        <f t="shared" si="0"/>
        <v>10</v>
      </c>
      <c r="N56" s="11">
        <f t="shared" si="2"/>
        <v>30</v>
      </c>
    </row>
    <row r="57" spans="2:14" x14ac:dyDescent="0.2">
      <c r="B57" t="s">
        <v>110</v>
      </c>
      <c r="C57" t="s">
        <v>115</v>
      </c>
      <c r="D57" t="s">
        <v>95</v>
      </c>
      <c r="G57">
        <v>1</v>
      </c>
      <c r="H57">
        <v>0</v>
      </c>
      <c r="I57">
        <f t="shared" si="3"/>
        <v>1</v>
      </c>
      <c r="K57" s="1">
        <v>10</v>
      </c>
      <c r="L57" s="1">
        <v>0</v>
      </c>
      <c r="M57" s="1">
        <f t="shared" si="0"/>
        <v>10</v>
      </c>
      <c r="N57" s="11">
        <f t="shared" si="2"/>
        <v>10</v>
      </c>
    </row>
    <row r="58" spans="2:14" x14ac:dyDescent="0.2">
      <c r="B58" t="s">
        <v>110</v>
      </c>
      <c r="C58" t="s">
        <v>118</v>
      </c>
      <c r="D58" t="s">
        <v>95</v>
      </c>
      <c r="G58">
        <v>1</v>
      </c>
      <c r="H58">
        <v>0</v>
      </c>
      <c r="I58">
        <f t="shared" si="3"/>
        <v>1</v>
      </c>
      <c r="K58" s="1">
        <v>10</v>
      </c>
      <c r="L58" s="1">
        <v>0</v>
      </c>
      <c r="M58" s="1">
        <f t="shared" si="0"/>
        <v>10</v>
      </c>
      <c r="N58" s="11">
        <f t="shared" si="2"/>
        <v>10</v>
      </c>
    </row>
    <row r="59" spans="2:14" x14ac:dyDescent="0.2">
      <c r="B59" t="s">
        <v>110</v>
      </c>
      <c r="C59" t="s">
        <v>119</v>
      </c>
      <c r="D59" t="s">
        <v>95</v>
      </c>
      <c r="G59">
        <v>1</v>
      </c>
      <c r="H59">
        <v>0</v>
      </c>
      <c r="I59">
        <f t="shared" si="3"/>
        <v>1</v>
      </c>
      <c r="K59" s="1">
        <v>10</v>
      </c>
      <c r="L59" s="1">
        <v>0</v>
      </c>
      <c r="M59" s="1">
        <f t="shared" si="0"/>
        <v>10</v>
      </c>
      <c r="N59" s="11">
        <f t="shared" si="2"/>
        <v>10</v>
      </c>
    </row>
    <row r="60" spans="2:14" x14ac:dyDescent="0.2">
      <c r="B60" t="s">
        <v>110</v>
      </c>
      <c r="C60" t="s">
        <v>114</v>
      </c>
      <c r="D60" t="s">
        <v>95</v>
      </c>
      <c r="G60">
        <v>1</v>
      </c>
      <c r="H60">
        <v>0</v>
      </c>
      <c r="I60">
        <f t="shared" si="3"/>
        <v>1</v>
      </c>
      <c r="K60" s="1">
        <v>10</v>
      </c>
      <c r="L60" s="1">
        <v>0</v>
      </c>
      <c r="M60" s="1">
        <f t="shared" si="0"/>
        <v>10</v>
      </c>
      <c r="N60" s="11">
        <f t="shared" si="2"/>
        <v>10</v>
      </c>
    </row>
    <row r="61" spans="2:14" x14ac:dyDescent="0.2">
      <c r="B61" t="s">
        <v>110</v>
      </c>
      <c r="C61" t="s">
        <v>119</v>
      </c>
      <c r="D61" t="s">
        <v>91</v>
      </c>
      <c r="G61">
        <v>2</v>
      </c>
      <c r="H61">
        <v>0</v>
      </c>
      <c r="I61">
        <f t="shared" si="3"/>
        <v>2</v>
      </c>
      <c r="K61" s="1">
        <v>10</v>
      </c>
      <c r="L61" s="1">
        <v>0</v>
      </c>
      <c r="M61" s="1">
        <f t="shared" si="0"/>
        <v>10</v>
      </c>
      <c r="N61" s="11">
        <f t="shared" si="2"/>
        <v>20</v>
      </c>
    </row>
    <row r="62" spans="2:14" x14ac:dyDescent="0.2">
      <c r="B62" t="s">
        <v>120</v>
      </c>
      <c r="C62" t="s">
        <v>115</v>
      </c>
      <c r="D62" t="s">
        <v>27</v>
      </c>
      <c r="G62">
        <v>2</v>
      </c>
      <c r="H62">
        <v>1</v>
      </c>
      <c r="I62">
        <f t="shared" si="3"/>
        <v>1</v>
      </c>
      <c r="K62" s="1">
        <v>10</v>
      </c>
      <c r="L62" s="1">
        <v>0</v>
      </c>
      <c r="M62" s="1">
        <f t="shared" si="0"/>
        <v>10</v>
      </c>
      <c r="N62" s="11">
        <f t="shared" si="2"/>
        <v>20</v>
      </c>
    </row>
    <row r="63" spans="2:14" x14ac:dyDescent="0.2">
      <c r="B63" t="s">
        <v>121</v>
      </c>
      <c r="C63" t="s">
        <v>114</v>
      </c>
      <c r="D63" t="s">
        <v>17</v>
      </c>
      <c r="G63">
        <v>8</v>
      </c>
      <c r="H63">
        <v>0</v>
      </c>
      <c r="I63">
        <f t="shared" si="3"/>
        <v>8</v>
      </c>
      <c r="K63" s="1">
        <v>10</v>
      </c>
      <c r="L63" s="1">
        <v>0</v>
      </c>
      <c r="M63" s="1">
        <f t="shared" si="0"/>
        <v>10</v>
      </c>
      <c r="N63" s="11">
        <f t="shared" si="2"/>
        <v>80</v>
      </c>
    </row>
    <row r="64" spans="2:14" x14ac:dyDescent="0.2">
      <c r="B64" t="s">
        <v>121</v>
      </c>
      <c r="C64" t="s">
        <v>113</v>
      </c>
      <c r="D64" t="s">
        <v>17</v>
      </c>
      <c r="G64">
        <v>4</v>
      </c>
      <c r="H64">
        <v>0</v>
      </c>
      <c r="I64">
        <f t="shared" si="3"/>
        <v>4</v>
      </c>
      <c r="K64" s="1">
        <v>10</v>
      </c>
      <c r="L64" s="1">
        <v>0</v>
      </c>
      <c r="M64" s="1">
        <f t="shared" si="0"/>
        <v>10</v>
      </c>
      <c r="N64" s="11">
        <f t="shared" si="2"/>
        <v>40</v>
      </c>
    </row>
    <row r="65" spans="2:14" x14ac:dyDescent="0.2">
      <c r="B65" t="s">
        <v>121</v>
      </c>
      <c r="C65" t="s">
        <v>119</v>
      </c>
      <c r="D65" t="s">
        <v>17</v>
      </c>
      <c r="G65">
        <v>1</v>
      </c>
      <c r="H65">
        <v>0</v>
      </c>
      <c r="I65">
        <f t="shared" si="3"/>
        <v>1</v>
      </c>
      <c r="K65" s="1">
        <v>10</v>
      </c>
      <c r="L65" s="1">
        <v>0</v>
      </c>
      <c r="M65" s="1">
        <f t="shared" si="0"/>
        <v>10</v>
      </c>
      <c r="N65" s="11">
        <f t="shared" si="2"/>
        <v>10</v>
      </c>
    </row>
    <row r="66" spans="2:14" x14ac:dyDescent="0.2">
      <c r="B66" t="s">
        <v>120</v>
      </c>
      <c r="C66" t="s">
        <v>122</v>
      </c>
      <c r="D66" t="s">
        <v>27</v>
      </c>
      <c r="G66">
        <v>1</v>
      </c>
      <c r="H66">
        <v>1</v>
      </c>
      <c r="I66">
        <f t="shared" si="3"/>
        <v>0</v>
      </c>
      <c r="K66" s="1">
        <v>10</v>
      </c>
      <c r="L66" s="1">
        <v>0</v>
      </c>
      <c r="M66" s="1">
        <f t="shared" ref="M66:M129" si="4">K66+L66</f>
        <v>10</v>
      </c>
      <c r="N66" s="11">
        <f t="shared" si="2"/>
        <v>10</v>
      </c>
    </row>
    <row r="67" spans="2:14" x14ac:dyDescent="0.2">
      <c r="B67" t="s">
        <v>121</v>
      </c>
      <c r="C67" t="s">
        <v>115</v>
      </c>
      <c r="D67" t="s">
        <v>17</v>
      </c>
      <c r="G67">
        <v>4</v>
      </c>
      <c r="H67">
        <v>0</v>
      </c>
      <c r="I67">
        <f t="shared" ref="I67:I97" si="5">G67-H67</f>
        <v>4</v>
      </c>
      <c r="K67" s="1">
        <v>10</v>
      </c>
      <c r="L67" s="1">
        <v>0</v>
      </c>
      <c r="M67" s="1">
        <f t="shared" si="4"/>
        <v>10</v>
      </c>
      <c r="N67" s="11">
        <f t="shared" ref="N67:N130" si="6">G67*K67</f>
        <v>40</v>
      </c>
    </row>
    <row r="68" spans="2:14" x14ac:dyDescent="0.2">
      <c r="B68" t="s">
        <v>121</v>
      </c>
      <c r="C68" t="s">
        <v>118</v>
      </c>
      <c r="D68" t="s">
        <v>17</v>
      </c>
      <c r="G68">
        <v>2</v>
      </c>
      <c r="H68">
        <v>1</v>
      </c>
      <c r="I68">
        <f t="shared" si="5"/>
        <v>1</v>
      </c>
      <c r="K68" s="1">
        <v>10</v>
      </c>
      <c r="L68" s="1">
        <v>0</v>
      </c>
      <c r="M68" s="1">
        <f t="shared" si="4"/>
        <v>10</v>
      </c>
      <c r="N68" s="11">
        <f t="shared" si="6"/>
        <v>20</v>
      </c>
    </row>
    <row r="69" spans="2:14" x14ac:dyDescent="0.2">
      <c r="B69" t="s">
        <v>112</v>
      </c>
      <c r="C69" t="s">
        <v>115</v>
      </c>
      <c r="D69" t="s">
        <v>97</v>
      </c>
      <c r="G69">
        <v>1</v>
      </c>
      <c r="H69">
        <v>0</v>
      </c>
      <c r="I69">
        <f t="shared" si="5"/>
        <v>1</v>
      </c>
      <c r="K69" s="1">
        <v>10</v>
      </c>
      <c r="L69" s="1">
        <v>0</v>
      </c>
      <c r="M69" s="1">
        <f t="shared" si="4"/>
        <v>10</v>
      </c>
      <c r="N69" s="11">
        <f t="shared" si="6"/>
        <v>10</v>
      </c>
    </row>
    <row r="70" spans="2:14" x14ac:dyDescent="0.2">
      <c r="B70" t="s">
        <v>121</v>
      </c>
      <c r="C70" t="s">
        <v>119</v>
      </c>
      <c r="D70" t="s">
        <v>34</v>
      </c>
      <c r="G70">
        <v>4</v>
      </c>
      <c r="H70">
        <v>1</v>
      </c>
      <c r="I70">
        <f t="shared" si="5"/>
        <v>3</v>
      </c>
      <c r="K70" s="1">
        <v>10</v>
      </c>
      <c r="L70" s="1">
        <v>0</v>
      </c>
      <c r="M70" s="1">
        <f t="shared" si="4"/>
        <v>10</v>
      </c>
      <c r="N70" s="11">
        <f t="shared" si="6"/>
        <v>40</v>
      </c>
    </row>
    <row r="71" spans="2:14" x14ac:dyDescent="0.2">
      <c r="B71" t="s">
        <v>121</v>
      </c>
      <c r="C71" t="s">
        <v>115</v>
      </c>
      <c r="D71" t="s">
        <v>34</v>
      </c>
      <c r="G71">
        <v>1</v>
      </c>
      <c r="H71">
        <v>0</v>
      </c>
      <c r="I71">
        <f t="shared" si="5"/>
        <v>1</v>
      </c>
      <c r="K71" s="1">
        <v>10</v>
      </c>
      <c r="L71" s="1">
        <v>0</v>
      </c>
      <c r="M71" s="1">
        <f t="shared" si="4"/>
        <v>10</v>
      </c>
      <c r="N71" s="11">
        <f t="shared" si="6"/>
        <v>10</v>
      </c>
    </row>
    <row r="72" spans="2:14" x14ac:dyDescent="0.2">
      <c r="B72" t="s">
        <v>121</v>
      </c>
      <c r="C72" t="s">
        <v>113</v>
      </c>
      <c r="D72" t="s">
        <v>34</v>
      </c>
      <c r="G72">
        <v>10</v>
      </c>
      <c r="H72">
        <v>0</v>
      </c>
      <c r="I72">
        <f t="shared" si="5"/>
        <v>10</v>
      </c>
      <c r="K72" s="1">
        <v>10</v>
      </c>
      <c r="L72" s="1">
        <v>0</v>
      </c>
      <c r="M72" s="1">
        <f t="shared" si="4"/>
        <v>10</v>
      </c>
      <c r="N72" s="11">
        <f t="shared" si="6"/>
        <v>100</v>
      </c>
    </row>
    <row r="73" spans="2:14" x14ac:dyDescent="0.2">
      <c r="B73" t="s">
        <v>112</v>
      </c>
      <c r="C73" t="s">
        <v>123</v>
      </c>
      <c r="D73" t="s">
        <v>97</v>
      </c>
      <c r="G73">
        <v>1</v>
      </c>
      <c r="H73">
        <v>0</v>
      </c>
      <c r="I73">
        <f t="shared" si="5"/>
        <v>1</v>
      </c>
      <c r="K73" s="1">
        <v>10</v>
      </c>
      <c r="L73" s="1">
        <v>0</v>
      </c>
      <c r="M73" s="1">
        <f t="shared" si="4"/>
        <v>10</v>
      </c>
      <c r="N73" s="11">
        <f t="shared" si="6"/>
        <v>10</v>
      </c>
    </row>
    <row r="74" spans="2:14" x14ac:dyDescent="0.2">
      <c r="B74" t="s">
        <v>112</v>
      </c>
      <c r="C74" t="s">
        <v>119</v>
      </c>
      <c r="D74" t="s">
        <v>97</v>
      </c>
      <c r="G74">
        <v>2</v>
      </c>
      <c r="H74">
        <v>0</v>
      </c>
      <c r="I74">
        <f t="shared" si="5"/>
        <v>2</v>
      </c>
      <c r="K74" s="1">
        <v>10</v>
      </c>
      <c r="L74" s="1">
        <v>0</v>
      </c>
      <c r="M74" s="1">
        <f t="shared" si="4"/>
        <v>10</v>
      </c>
      <c r="N74" s="11">
        <f t="shared" si="6"/>
        <v>20</v>
      </c>
    </row>
    <row r="75" spans="2:14" x14ac:dyDescent="0.2">
      <c r="B75" t="s">
        <v>112</v>
      </c>
      <c r="C75" t="s">
        <v>116</v>
      </c>
      <c r="D75" t="s">
        <v>97</v>
      </c>
      <c r="G75">
        <v>5</v>
      </c>
      <c r="H75">
        <v>0</v>
      </c>
      <c r="I75">
        <f t="shared" si="5"/>
        <v>5</v>
      </c>
      <c r="K75" s="1">
        <v>10</v>
      </c>
      <c r="L75" s="1">
        <v>0</v>
      </c>
      <c r="M75" s="1">
        <f t="shared" si="4"/>
        <v>10</v>
      </c>
      <c r="N75" s="11">
        <f t="shared" si="6"/>
        <v>50</v>
      </c>
    </row>
    <row r="76" spans="2:14" x14ac:dyDescent="0.2">
      <c r="B76" t="s">
        <v>110</v>
      </c>
      <c r="C76" t="s">
        <v>113</v>
      </c>
      <c r="D76" t="s">
        <v>95</v>
      </c>
      <c r="G76">
        <v>2</v>
      </c>
      <c r="H76">
        <v>0</v>
      </c>
      <c r="I76">
        <f t="shared" si="5"/>
        <v>2</v>
      </c>
      <c r="K76" s="1">
        <v>10</v>
      </c>
      <c r="L76" s="1">
        <v>0</v>
      </c>
      <c r="M76" s="1">
        <f t="shared" si="4"/>
        <v>10</v>
      </c>
      <c r="N76" s="11">
        <f t="shared" si="6"/>
        <v>20</v>
      </c>
    </row>
    <row r="77" spans="2:14" x14ac:dyDescent="0.2">
      <c r="B77" t="s">
        <v>121</v>
      </c>
      <c r="C77" t="s">
        <v>124</v>
      </c>
      <c r="D77" t="s">
        <v>34</v>
      </c>
      <c r="G77">
        <v>3</v>
      </c>
      <c r="H77">
        <v>2</v>
      </c>
      <c r="I77">
        <f>G77-H6</f>
        <v>3</v>
      </c>
      <c r="K77" s="1">
        <v>10</v>
      </c>
      <c r="L77" s="1">
        <v>0</v>
      </c>
      <c r="M77" s="1">
        <f t="shared" si="4"/>
        <v>10</v>
      </c>
      <c r="N77" s="11">
        <f t="shared" si="6"/>
        <v>30</v>
      </c>
    </row>
    <row r="78" spans="2:14" x14ac:dyDescent="0.2">
      <c r="B78" t="s">
        <v>121</v>
      </c>
      <c r="C78" t="s">
        <v>116</v>
      </c>
      <c r="D78" t="s">
        <v>34</v>
      </c>
      <c r="G78">
        <v>1</v>
      </c>
      <c r="H78">
        <v>0</v>
      </c>
      <c r="I78">
        <f t="shared" si="5"/>
        <v>1</v>
      </c>
      <c r="K78" s="1">
        <v>10</v>
      </c>
      <c r="L78" s="1">
        <v>0</v>
      </c>
      <c r="M78" s="1">
        <f t="shared" si="4"/>
        <v>10</v>
      </c>
      <c r="N78" s="11">
        <f t="shared" si="6"/>
        <v>10</v>
      </c>
    </row>
    <row r="79" spans="2:14" x14ac:dyDescent="0.2">
      <c r="B79" t="s">
        <v>121</v>
      </c>
      <c r="C79" t="s">
        <v>114</v>
      </c>
      <c r="D79" t="s">
        <v>34</v>
      </c>
      <c r="G79">
        <v>10</v>
      </c>
      <c r="H79">
        <v>0</v>
      </c>
      <c r="I79">
        <f t="shared" si="5"/>
        <v>10</v>
      </c>
      <c r="K79" s="1">
        <v>10</v>
      </c>
      <c r="L79" s="1">
        <v>0</v>
      </c>
      <c r="M79" s="1">
        <f t="shared" si="4"/>
        <v>10</v>
      </c>
      <c r="N79" s="11">
        <f t="shared" si="6"/>
        <v>100</v>
      </c>
    </row>
    <row r="80" spans="2:14" x14ac:dyDescent="0.2">
      <c r="B80" t="s">
        <v>121</v>
      </c>
      <c r="C80" t="s">
        <v>118</v>
      </c>
      <c r="D80" t="s">
        <v>34</v>
      </c>
      <c r="G80">
        <v>2</v>
      </c>
      <c r="H80">
        <v>0</v>
      </c>
      <c r="I80">
        <f t="shared" si="5"/>
        <v>2</v>
      </c>
      <c r="K80" s="1">
        <v>10</v>
      </c>
      <c r="L80" s="1">
        <v>0</v>
      </c>
      <c r="M80" s="1">
        <f t="shared" si="4"/>
        <v>10</v>
      </c>
      <c r="N80" s="11">
        <f t="shared" si="6"/>
        <v>20</v>
      </c>
    </row>
    <row r="81" spans="2:14" x14ac:dyDescent="0.2">
      <c r="B81" t="s">
        <v>121</v>
      </c>
      <c r="C81" t="s">
        <v>125</v>
      </c>
      <c r="D81" t="s">
        <v>34</v>
      </c>
      <c r="G81">
        <v>1</v>
      </c>
      <c r="H81">
        <v>1</v>
      </c>
      <c r="I81">
        <f t="shared" si="5"/>
        <v>0</v>
      </c>
      <c r="K81" s="1">
        <v>10</v>
      </c>
      <c r="L81" s="1">
        <v>0</v>
      </c>
      <c r="M81" s="1">
        <f t="shared" si="4"/>
        <v>10</v>
      </c>
      <c r="N81" s="11">
        <f t="shared" si="6"/>
        <v>10</v>
      </c>
    </row>
    <row r="82" spans="2:14" x14ac:dyDescent="0.2">
      <c r="B82" t="s">
        <v>121</v>
      </c>
      <c r="C82" t="s">
        <v>122</v>
      </c>
      <c r="D82" t="s">
        <v>17</v>
      </c>
      <c r="G82">
        <v>1</v>
      </c>
      <c r="H82">
        <v>1</v>
      </c>
      <c r="I82">
        <f t="shared" si="5"/>
        <v>0</v>
      </c>
      <c r="K82" s="1">
        <v>10</v>
      </c>
      <c r="L82" s="1">
        <v>0</v>
      </c>
      <c r="M82" s="1">
        <f t="shared" si="4"/>
        <v>10</v>
      </c>
      <c r="N82" s="11">
        <f t="shared" si="6"/>
        <v>10</v>
      </c>
    </row>
    <row r="83" spans="2:14" x14ac:dyDescent="0.2">
      <c r="B83" t="s">
        <v>120</v>
      </c>
      <c r="C83" t="s">
        <v>114</v>
      </c>
      <c r="D83" t="s">
        <v>27</v>
      </c>
      <c r="G83">
        <v>2</v>
      </c>
      <c r="H83">
        <v>0</v>
      </c>
      <c r="I83">
        <f t="shared" si="5"/>
        <v>2</v>
      </c>
      <c r="K83" s="1">
        <v>10</v>
      </c>
      <c r="L83" s="1">
        <v>0</v>
      </c>
      <c r="M83" s="1">
        <f t="shared" si="4"/>
        <v>10</v>
      </c>
      <c r="N83" s="11">
        <f t="shared" si="6"/>
        <v>20</v>
      </c>
    </row>
    <row r="84" spans="2:14" x14ac:dyDescent="0.2">
      <c r="B84" t="s">
        <v>126</v>
      </c>
      <c r="C84" t="s">
        <v>127</v>
      </c>
      <c r="D84" t="s">
        <v>128</v>
      </c>
      <c r="G84">
        <v>2</v>
      </c>
      <c r="H84">
        <v>1</v>
      </c>
      <c r="I84">
        <f t="shared" si="5"/>
        <v>1</v>
      </c>
      <c r="K84" s="1">
        <v>6.75</v>
      </c>
      <c r="L84" s="1">
        <v>0</v>
      </c>
      <c r="M84" s="1">
        <f t="shared" si="4"/>
        <v>6.75</v>
      </c>
      <c r="N84" s="11">
        <f t="shared" si="6"/>
        <v>13.5</v>
      </c>
    </row>
    <row r="85" spans="2:14" x14ac:dyDescent="0.2">
      <c r="B85" t="s">
        <v>126</v>
      </c>
      <c r="C85" t="s">
        <v>127</v>
      </c>
      <c r="D85" t="s">
        <v>129</v>
      </c>
      <c r="G85">
        <v>2</v>
      </c>
      <c r="H85">
        <v>1</v>
      </c>
      <c r="I85">
        <f t="shared" si="5"/>
        <v>1</v>
      </c>
      <c r="K85" s="1">
        <v>6.75</v>
      </c>
      <c r="L85" s="1">
        <v>0</v>
      </c>
      <c r="M85" s="1">
        <f t="shared" si="4"/>
        <v>6.75</v>
      </c>
      <c r="N85" s="11">
        <f t="shared" si="6"/>
        <v>13.5</v>
      </c>
    </row>
    <row r="86" spans="2:14" x14ac:dyDescent="0.2">
      <c r="B86" t="s">
        <v>126</v>
      </c>
      <c r="C86" t="s">
        <v>127</v>
      </c>
      <c r="D86" t="s">
        <v>130</v>
      </c>
      <c r="G86">
        <v>1</v>
      </c>
      <c r="H86">
        <v>1</v>
      </c>
      <c r="I86">
        <f t="shared" si="5"/>
        <v>0</v>
      </c>
      <c r="K86" s="1">
        <v>6.75</v>
      </c>
      <c r="L86" s="1">
        <v>0</v>
      </c>
      <c r="M86" s="1">
        <f t="shared" si="4"/>
        <v>6.75</v>
      </c>
      <c r="N86" s="11">
        <f t="shared" si="6"/>
        <v>6.75</v>
      </c>
    </row>
    <row r="87" spans="2:14" x14ac:dyDescent="0.2">
      <c r="B87" t="s">
        <v>126</v>
      </c>
      <c r="C87" t="s">
        <v>127</v>
      </c>
      <c r="D87" t="s">
        <v>131</v>
      </c>
      <c r="G87">
        <v>1</v>
      </c>
      <c r="H87">
        <v>1</v>
      </c>
      <c r="I87">
        <f t="shared" si="5"/>
        <v>0</v>
      </c>
      <c r="K87" s="1">
        <v>6.75</v>
      </c>
      <c r="L87" s="1">
        <v>0</v>
      </c>
      <c r="M87" s="1">
        <f t="shared" si="4"/>
        <v>6.75</v>
      </c>
      <c r="N87" s="11">
        <f t="shared" si="6"/>
        <v>6.75</v>
      </c>
    </row>
    <row r="88" spans="2:14" x14ac:dyDescent="0.2">
      <c r="B88" t="s">
        <v>126</v>
      </c>
      <c r="C88" t="s">
        <v>127</v>
      </c>
      <c r="D88" t="s">
        <v>132</v>
      </c>
      <c r="G88">
        <v>2</v>
      </c>
      <c r="H88">
        <v>0</v>
      </c>
      <c r="I88">
        <f t="shared" si="5"/>
        <v>2</v>
      </c>
      <c r="K88" s="1">
        <v>6.75</v>
      </c>
      <c r="L88" s="1">
        <v>0</v>
      </c>
      <c r="M88" s="1">
        <f t="shared" si="4"/>
        <v>6.75</v>
      </c>
      <c r="N88" s="11">
        <f t="shared" si="6"/>
        <v>13.5</v>
      </c>
    </row>
    <row r="89" spans="2:14" x14ac:dyDescent="0.2">
      <c r="B89" t="s">
        <v>126</v>
      </c>
      <c r="C89" t="s">
        <v>133</v>
      </c>
      <c r="D89" t="s">
        <v>132</v>
      </c>
      <c r="G89">
        <v>2</v>
      </c>
      <c r="H89">
        <v>0</v>
      </c>
      <c r="I89">
        <f t="shared" si="5"/>
        <v>2</v>
      </c>
      <c r="K89" s="1">
        <v>10.48</v>
      </c>
      <c r="L89" s="1">
        <v>0</v>
      </c>
      <c r="M89" s="1">
        <f t="shared" si="4"/>
        <v>10.48</v>
      </c>
      <c r="N89" s="11">
        <f t="shared" si="6"/>
        <v>20.96</v>
      </c>
    </row>
    <row r="90" spans="2:14" x14ac:dyDescent="0.2">
      <c r="B90" t="s">
        <v>126</v>
      </c>
      <c r="C90" t="s">
        <v>133</v>
      </c>
      <c r="D90" t="s">
        <v>128</v>
      </c>
      <c r="G90">
        <v>2</v>
      </c>
      <c r="H90">
        <v>0</v>
      </c>
      <c r="I90">
        <f t="shared" si="5"/>
        <v>2</v>
      </c>
      <c r="K90" s="1">
        <v>10.48</v>
      </c>
      <c r="L90" s="1">
        <v>0</v>
      </c>
      <c r="M90" s="1">
        <f t="shared" si="4"/>
        <v>10.48</v>
      </c>
      <c r="N90" s="11">
        <f t="shared" si="6"/>
        <v>20.96</v>
      </c>
    </row>
    <row r="91" spans="2:14" x14ac:dyDescent="0.2">
      <c r="B91" t="s">
        <v>126</v>
      </c>
      <c r="C91" t="s">
        <v>133</v>
      </c>
      <c r="D91" t="s">
        <v>130</v>
      </c>
      <c r="G91">
        <v>1</v>
      </c>
      <c r="H91">
        <v>0</v>
      </c>
      <c r="I91">
        <f t="shared" si="5"/>
        <v>1</v>
      </c>
      <c r="K91" s="1">
        <v>10.48</v>
      </c>
      <c r="L91" s="1">
        <v>0</v>
      </c>
      <c r="M91" s="1">
        <f t="shared" si="4"/>
        <v>10.48</v>
      </c>
      <c r="N91" s="11">
        <f t="shared" si="6"/>
        <v>10.48</v>
      </c>
    </row>
    <row r="92" spans="2:14" x14ac:dyDescent="0.2">
      <c r="B92" t="s">
        <v>126</v>
      </c>
      <c r="C92" t="s">
        <v>134</v>
      </c>
      <c r="D92" t="s">
        <v>135</v>
      </c>
      <c r="G92">
        <v>1</v>
      </c>
      <c r="H92">
        <v>1</v>
      </c>
      <c r="I92">
        <f t="shared" si="5"/>
        <v>0</v>
      </c>
      <c r="K92" s="1">
        <v>12</v>
      </c>
      <c r="L92" s="1">
        <v>0</v>
      </c>
      <c r="M92" s="1">
        <f t="shared" si="4"/>
        <v>12</v>
      </c>
      <c r="N92" s="11">
        <f t="shared" si="6"/>
        <v>12</v>
      </c>
    </row>
    <row r="93" spans="2:14" x14ac:dyDescent="0.2">
      <c r="B93" t="s">
        <v>126</v>
      </c>
      <c r="C93" t="s">
        <v>134</v>
      </c>
      <c r="D93" t="s">
        <v>136</v>
      </c>
      <c r="G93">
        <v>3</v>
      </c>
      <c r="H93">
        <v>1</v>
      </c>
      <c r="I93">
        <f t="shared" si="5"/>
        <v>2</v>
      </c>
      <c r="K93" s="1">
        <v>12</v>
      </c>
      <c r="L93" s="1">
        <v>0</v>
      </c>
      <c r="M93" s="1">
        <f t="shared" si="4"/>
        <v>12</v>
      </c>
      <c r="N93" s="11">
        <f t="shared" si="6"/>
        <v>36</v>
      </c>
    </row>
    <row r="94" spans="2:14" x14ac:dyDescent="0.2">
      <c r="B94" t="s">
        <v>126</v>
      </c>
      <c r="C94" t="s">
        <v>137</v>
      </c>
      <c r="D94" t="s">
        <v>138</v>
      </c>
      <c r="G94">
        <v>1</v>
      </c>
      <c r="H94">
        <v>1</v>
      </c>
      <c r="I94">
        <f t="shared" si="5"/>
        <v>0</v>
      </c>
      <c r="K94" s="1">
        <v>12</v>
      </c>
      <c r="L94" s="1">
        <v>0</v>
      </c>
      <c r="M94" s="1">
        <f t="shared" si="4"/>
        <v>12</v>
      </c>
      <c r="N94" s="11">
        <f t="shared" si="6"/>
        <v>12</v>
      </c>
    </row>
    <row r="95" spans="2:14" x14ac:dyDescent="0.2">
      <c r="B95" t="s">
        <v>126</v>
      </c>
      <c r="C95" t="s">
        <v>139</v>
      </c>
      <c r="D95" t="s">
        <v>140</v>
      </c>
      <c r="G95">
        <v>1</v>
      </c>
      <c r="H95">
        <v>1</v>
      </c>
      <c r="I95">
        <f t="shared" si="5"/>
        <v>0</v>
      </c>
      <c r="K95" s="1">
        <v>12</v>
      </c>
      <c r="L95" s="1">
        <v>0</v>
      </c>
      <c r="M95" s="1">
        <f t="shared" si="4"/>
        <v>12</v>
      </c>
      <c r="N95" s="11">
        <f t="shared" si="6"/>
        <v>12</v>
      </c>
    </row>
    <row r="96" spans="2:14" x14ac:dyDescent="0.2">
      <c r="B96" t="s">
        <v>126</v>
      </c>
      <c r="C96" t="s">
        <v>141</v>
      </c>
      <c r="D96" t="s">
        <v>136</v>
      </c>
      <c r="G96">
        <v>1</v>
      </c>
      <c r="H96">
        <v>1</v>
      </c>
      <c r="I96">
        <f t="shared" si="5"/>
        <v>0</v>
      </c>
      <c r="K96" s="1">
        <v>12</v>
      </c>
      <c r="L96" s="1">
        <v>0</v>
      </c>
      <c r="M96" s="1">
        <f t="shared" si="4"/>
        <v>12</v>
      </c>
      <c r="N96" s="11">
        <f t="shared" si="6"/>
        <v>12</v>
      </c>
    </row>
    <row r="97" spans="2:14" x14ac:dyDescent="0.2">
      <c r="B97" t="s">
        <v>126</v>
      </c>
      <c r="C97" t="s">
        <v>142</v>
      </c>
      <c r="D97" t="s">
        <v>135</v>
      </c>
      <c r="G97">
        <v>1</v>
      </c>
      <c r="H97">
        <v>1</v>
      </c>
      <c r="I97">
        <f t="shared" si="5"/>
        <v>0</v>
      </c>
      <c r="K97" s="1">
        <v>12</v>
      </c>
      <c r="L97" s="1">
        <v>0</v>
      </c>
      <c r="M97" s="1">
        <f t="shared" si="4"/>
        <v>12</v>
      </c>
      <c r="N97" s="11">
        <f t="shared" si="6"/>
        <v>12</v>
      </c>
    </row>
    <row r="98" spans="2:14" x14ac:dyDescent="0.2">
      <c r="B98" t="s">
        <v>126</v>
      </c>
      <c r="C98" t="s">
        <v>143</v>
      </c>
      <c r="D98" t="s">
        <v>144</v>
      </c>
      <c r="G98">
        <v>2</v>
      </c>
      <c r="H98">
        <v>2</v>
      </c>
      <c r="I98">
        <v>0</v>
      </c>
      <c r="K98" s="1">
        <v>9</v>
      </c>
      <c r="L98" s="1">
        <v>0</v>
      </c>
      <c r="M98" s="1">
        <f t="shared" si="4"/>
        <v>9</v>
      </c>
      <c r="N98" s="11">
        <f t="shared" si="6"/>
        <v>18</v>
      </c>
    </row>
    <row r="99" spans="2:14" x14ac:dyDescent="0.2">
      <c r="B99" t="s">
        <v>126</v>
      </c>
      <c r="C99" t="s">
        <v>143</v>
      </c>
      <c r="D99" t="s">
        <v>145</v>
      </c>
      <c r="G99">
        <v>1</v>
      </c>
      <c r="H99">
        <v>1</v>
      </c>
      <c r="I99">
        <f t="shared" ref="I99:I128" si="7">G99-H99</f>
        <v>0</v>
      </c>
      <c r="K99" s="1">
        <v>9</v>
      </c>
      <c r="L99" s="1">
        <v>0</v>
      </c>
      <c r="M99" s="1">
        <f t="shared" si="4"/>
        <v>9</v>
      </c>
      <c r="N99" s="11">
        <f t="shared" si="6"/>
        <v>9</v>
      </c>
    </row>
    <row r="100" spans="2:14" x14ac:dyDescent="0.2">
      <c r="B100" t="s">
        <v>126</v>
      </c>
      <c r="C100" t="s">
        <v>146</v>
      </c>
      <c r="D100" t="s">
        <v>136</v>
      </c>
      <c r="G100">
        <v>1</v>
      </c>
      <c r="H100">
        <v>0</v>
      </c>
      <c r="I100">
        <f t="shared" si="7"/>
        <v>1</v>
      </c>
      <c r="K100" s="1">
        <v>13.98</v>
      </c>
      <c r="L100" s="1">
        <v>0</v>
      </c>
      <c r="M100" s="1">
        <f t="shared" si="4"/>
        <v>13.98</v>
      </c>
      <c r="N100" s="11">
        <f t="shared" si="6"/>
        <v>13.98</v>
      </c>
    </row>
    <row r="101" spans="2:14" x14ac:dyDescent="0.2">
      <c r="B101" t="s">
        <v>126</v>
      </c>
      <c r="C101" t="s">
        <v>147</v>
      </c>
      <c r="D101" t="s">
        <v>138</v>
      </c>
      <c r="G101">
        <v>1</v>
      </c>
      <c r="H101">
        <v>0</v>
      </c>
      <c r="I101">
        <f t="shared" si="7"/>
        <v>1</v>
      </c>
      <c r="K101" s="1">
        <v>12</v>
      </c>
      <c r="L101" s="1">
        <v>0</v>
      </c>
      <c r="M101" s="1">
        <f t="shared" si="4"/>
        <v>12</v>
      </c>
      <c r="N101" s="11">
        <f t="shared" si="6"/>
        <v>12</v>
      </c>
    </row>
    <row r="102" spans="2:14" x14ac:dyDescent="0.2">
      <c r="B102" t="s">
        <v>126</v>
      </c>
      <c r="C102" t="s">
        <v>147</v>
      </c>
      <c r="D102" t="s">
        <v>148</v>
      </c>
      <c r="G102">
        <v>1</v>
      </c>
      <c r="H102">
        <v>0</v>
      </c>
      <c r="I102">
        <f t="shared" si="7"/>
        <v>1</v>
      </c>
      <c r="K102" s="1">
        <v>12</v>
      </c>
      <c r="L102" s="1">
        <v>0</v>
      </c>
      <c r="M102" s="1">
        <f t="shared" si="4"/>
        <v>12</v>
      </c>
      <c r="N102" s="11">
        <f t="shared" si="6"/>
        <v>12</v>
      </c>
    </row>
    <row r="103" spans="2:14" x14ac:dyDescent="0.2">
      <c r="B103" t="s">
        <v>126</v>
      </c>
      <c r="C103" t="s">
        <v>149</v>
      </c>
      <c r="D103" t="s">
        <v>150</v>
      </c>
      <c r="G103">
        <v>1</v>
      </c>
      <c r="H103">
        <v>1</v>
      </c>
      <c r="I103">
        <v>0</v>
      </c>
      <c r="K103" s="1">
        <v>75</v>
      </c>
      <c r="L103" s="1">
        <v>0</v>
      </c>
      <c r="M103" s="1">
        <f t="shared" si="4"/>
        <v>75</v>
      </c>
      <c r="N103" s="11">
        <f t="shared" si="6"/>
        <v>75</v>
      </c>
    </row>
    <row r="104" spans="2:14" x14ac:dyDescent="0.2">
      <c r="B104" t="s">
        <v>126</v>
      </c>
      <c r="C104" t="s">
        <v>151</v>
      </c>
      <c r="D104" t="s">
        <v>136</v>
      </c>
      <c r="G104">
        <v>1</v>
      </c>
      <c r="H104">
        <v>1</v>
      </c>
      <c r="I104">
        <v>0</v>
      </c>
      <c r="K104" s="1">
        <v>75</v>
      </c>
      <c r="L104" s="1">
        <v>0</v>
      </c>
      <c r="M104" s="1">
        <f t="shared" si="4"/>
        <v>75</v>
      </c>
      <c r="N104" s="11">
        <f t="shared" si="6"/>
        <v>75</v>
      </c>
    </row>
    <row r="105" spans="2:14" x14ac:dyDescent="0.2">
      <c r="B105" t="s">
        <v>126</v>
      </c>
      <c r="C105" t="s">
        <v>152</v>
      </c>
      <c r="D105" t="s">
        <v>140</v>
      </c>
      <c r="G105">
        <v>1</v>
      </c>
      <c r="H105">
        <v>0</v>
      </c>
      <c r="I105">
        <f t="shared" si="7"/>
        <v>1</v>
      </c>
      <c r="K105" s="1">
        <v>12</v>
      </c>
      <c r="L105" s="1">
        <v>0</v>
      </c>
      <c r="M105" s="1">
        <f t="shared" si="4"/>
        <v>12</v>
      </c>
      <c r="N105" s="11">
        <f t="shared" si="6"/>
        <v>12</v>
      </c>
    </row>
    <row r="106" spans="2:14" x14ac:dyDescent="0.2">
      <c r="B106" t="s">
        <v>126</v>
      </c>
      <c r="C106" t="s">
        <v>153</v>
      </c>
      <c r="D106" t="s">
        <v>154</v>
      </c>
      <c r="G106">
        <v>2</v>
      </c>
      <c r="H106">
        <v>0</v>
      </c>
      <c r="I106">
        <f t="shared" si="7"/>
        <v>2</v>
      </c>
      <c r="K106" s="1">
        <v>26.92</v>
      </c>
      <c r="L106" s="1">
        <v>0</v>
      </c>
      <c r="M106" s="1">
        <f t="shared" si="4"/>
        <v>26.92</v>
      </c>
      <c r="N106" s="11">
        <f t="shared" si="6"/>
        <v>53.84</v>
      </c>
    </row>
    <row r="107" spans="2:14" x14ac:dyDescent="0.2">
      <c r="B107" t="s">
        <v>126</v>
      </c>
      <c r="C107" t="s">
        <v>153</v>
      </c>
      <c r="D107" t="s">
        <v>130</v>
      </c>
      <c r="G107">
        <v>1</v>
      </c>
      <c r="H107">
        <v>1</v>
      </c>
      <c r="I107">
        <f t="shared" si="7"/>
        <v>0</v>
      </c>
      <c r="K107" s="1">
        <v>26.92</v>
      </c>
      <c r="L107" s="1">
        <v>0</v>
      </c>
      <c r="M107" s="1">
        <f t="shared" si="4"/>
        <v>26.92</v>
      </c>
      <c r="N107" s="11">
        <f t="shared" si="6"/>
        <v>26.92</v>
      </c>
    </row>
    <row r="108" spans="2:14" x14ac:dyDescent="0.2">
      <c r="B108" t="s">
        <v>126</v>
      </c>
      <c r="C108" t="s">
        <v>155</v>
      </c>
      <c r="D108" t="s">
        <v>156</v>
      </c>
      <c r="G108">
        <v>1</v>
      </c>
      <c r="H108">
        <v>1</v>
      </c>
      <c r="I108">
        <f t="shared" si="7"/>
        <v>0</v>
      </c>
      <c r="K108" s="1">
        <v>75</v>
      </c>
      <c r="L108" s="1">
        <v>0</v>
      </c>
      <c r="M108" s="1">
        <f t="shared" si="4"/>
        <v>75</v>
      </c>
      <c r="N108" s="11">
        <f t="shared" si="6"/>
        <v>75</v>
      </c>
    </row>
    <row r="109" spans="2:14" x14ac:dyDescent="0.2">
      <c r="B109" t="s">
        <v>126</v>
      </c>
      <c r="C109" t="s">
        <v>157</v>
      </c>
      <c r="D109" t="s">
        <v>156</v>
      </c>
      <c r="G109">
        <v>1</v>
      </c>
      <c r="H109">
        <v>1</v>
      </c>
      <c r="I109">
        <f t="shared" si="7"/>
        <v>0</v>
      </c>
      <c r="K109" s="1">
        <v>75</v>
      </c>
      <c r="L109" s="1">
        <v>0</v>
      </c>
      <c r="M109" s="1">
        <f t="shared" si="4"/>
        <v>75</v>
      </c>
      <c r="N109" s="11">
        <f t="shared" si="6"/>
        <v>75</v>
      </c>
    </row>
    <row r="110" spans="2:14" x14ac:dyDescent="0.2">
      <c r="B110" t="s">
        <v>126</v>
      </c>
      <c r="C110" t="s">
        <v>155</v>
      </c>
      <c r="D110" t="s">
        <v>158</v>
      </c>
      <c r="G110">
        <v>1</v>
      </c>
      <c r="H110">
        <v>0</v>
      </c>
      <c r="I110">
        <f t="shared" si="7"/>
        <v>1</v>
      </c>
      <c r="K110" s="1">
        <v>75</v>
      </c>
      <c r="L110" s="1">
        <v>0</v>
      </c>
      <c r="M110" s="1">
        <f t="shared" si="4"/>
        <v>75</v>
      </c>
      <c r="N110" s="11">
        <f t="shared" si="6"/>
        <v>75</v>
      </c>
    </row>
    <row r="111" spans="2:14" x14ac:dyDescent="0.2">
      <c r="B111" t="s">
        <v>126</v>
      </c>
      <c r="C111" t="s">
        <v>159</v>
      </c>
      <c r="D111" t="s">
        <v>158</v>
      </c>
      <c r="G111">
        <v>1</v>
      </c>
      <c r="H111">
        <v>0</v>
      </c>
      <c r="I111">
        <f t="shared" si="7"/>
        <v>1</v>
      </c>
      <c r="K111" s="1">
        <v>85</v>
      </c>
      <c r="L111" s="1">
        <v>0</v>
      </c>
      <c r="M111" s="1">
        <f t="shared" si="4"/>
        <v>85</v>
      </c>
      <c r="N111" s="11">
        <f t="shared" si="6"/>
        <v>85</v>
      </c>
    </row>
    <row r="112" spans="2:14" x14ac:dyDescent="0.2">
      <c r="B112" t="s">
        <v>112</v>
      </c>
      <c r="C112" t="s">
        <v>160</v>
      </c>
      <c r="D112" t="s">
        <v>97</v>
      </c>
      <c r="G112">
        <v>2</v>
      </c>
      <c r="H112">
        <v>0</v>
      </c>
      <c r="I112">
        <f t="shared" si="7"/>
        <v>2</v>
      </c>
      <c r="K112" s="1">
        <v>10</v>
      </c>
      <c r="L112" s="1">
        <v>0</v>
      </c>
      <c r="M112" s="1">
        <f t="shared" si="4"/>
        <v>10</v>
      </c>
      <c r="N112" s="11">
        <f t="shared" si="6"/>
        <v>20</v>
      </c>
    </row>
    <row r="113" spans="2:14" x14ac:dyDescent="0.2">
      <c r="B113" t="s">
        <v>112</v>
      </c>
      <c r="C113" t="s">
        <v>161</v>
      </c>
      <c r="D113" t="s">
        <v>97</v>
      </c>
      <c r="G113">
        <v>1</v>
      </c>
      <c r="H113">
        <v>1</v>
      </c>
      <c r="I113">
        <f t="shared" si="7"/>
        <v>0</v>
      </c>
      <c r="K113" s="1">
        <v>10</v>
      </c>
      <c r="L113" s="1">
        <v>0</v>
      </c>
      <c r="M113" s="1">
        <f t="shared" si="4"/>
        <v>10</v>
      </c>
      <c r="N113" s="11">
        <f t="shared" si="6"/>
        <v>10</v>
      </c>
    </row>
    <row r="114" spans="2:14" x14ac:dyDescent="0.2">
      <c r="B114" t="s">
        <v>112</v>
      </c>
      <c r="C114" t="s">
        <v>162</v>
      </c>
      <c r="D114" t="s">
        <v>97</v>
      </c>
      <c r="G114">
        <v>1</v>
      </c>
      <c r="H114">
        <v>1</v>
      </c>
      <c r="I114">
        <f t="shared" si="7"/>
        <v>0</v>
      </c>
      <c r="K114" s="1">
        <v>10</v>
      </c>
      <c r="L114" s="1">
        <v>0</v>
      </c>
      <c r="M114" s="1">
        <f t="shared" si="4"/>
        <v>10</v>
      </c>
      <c r="N114" s="11">
        <f t="shared" si="6"/>
        <v>10</v>
      </c>
    </row>
    <row r="115" spans="2:14" x14ac:dyDescent="0.2">
      <c r="B115" t="s">
        <v>110</v>
      </c>
      <c r="C115" t="s">
        <v>163</v>
      </c>
      <c r="D115" t="s">
        <v>91</v>
      </c>
      <c r="G115">
        <v>2</v>
      </c>
      <c r="H115">
        <v>0</v>
      </c>
      <c r="I115">
        <f t="shared" si="7"/>
        <v>2</v>
      </c>
      <c r="K115" s="1">
        <v>10</v>
      </c>
      <c r="L115" s="1">
        <v>0</v>
      </c>
      <c r="M115" s="1">
        <f t="shared" si="4"/>
        <v>10</v>
      </c>
      <c r="N115" s="11">
        <f t="shared" si="6"/>
        <v>20</v>
      </c>
    </row>
    <row r="116" spans="2:14" x14ac:dyDescent="0.2">
      <c r="B116" t="s">
        <v>110</v>
      </c>
      <c r="C116" t="s">
        <v>163</v>
      </c>
      <c r="D116" t="s">
        <v>95</v>
      </c>
      <c r="G116">
        <v>1</v>
      </c>
      <c r="H116">
        <v>0</v>
      </c>
      <c r="I116">
        <f t="shared" si="7"/>
        <v>1</v>
      </c>
      <c r="K116" s="1">
        <v>10</v>
      </c>
      <c r="L116" s="1">
        <v>0</v>
      </c>
      <c r="M116" s="1">
        <f t="shared" si="4"/>
        <v>10</v>
      </c>
      <c r="N116" s="11">
        <f t="shared" si="6"/>
        <v>10</v>
      </c>
    </row>
    <row r="117" spans="2:14" x14ac:dyDescent="0.2">
      <c r="B117" t="s">
        <v>110</v>
      </c>
      <c r="C117" t="s">
        <v>164</v>
      </c>
      <c r="D117" t="s">
        <v>95</v>
      </c>
      <c r="G117">
        <v>1</v>
      </c>
      <c r="H117">
        <v>0</v>
      </c>
      <c r="I117">
        <f t="shared" si="7"/>
        <v>1</v>
      </c>
      <c r="K117" s="1">
        <v>10</v>
      </c>
      <c r="L117" s="1">
        <v>0</v>
      </c>
      <c r="M117" s="1">
        <f t="shared" si="4"/>
        <v>10</v>
      </c>
      <c r="N117" s="11">
        <f t="shared" si="6"/>
        <v>10</v>
      </c>
    </row>
    <row r="118" spans="2:14" x14ac:dyDescent="0.2">
      <c r="B118" t="s">
        <v>110</v>
      </c>
      <c r="C118" t="s">
        <v>165</v>
      </c>
      <c r="D118" t="s">
        <v>91</v>
      </c>
      <c r="G118">
        <v>1</v>
      </c>
      <c r="H118">
        <v>0</v>
      </c>
      <c r="I118">
        <f t="shared" si="7"/>
        <v>1</v>
      </c>
      <c r="K118" s="1">
        <v>10</v>
      </c>
      <c r="L118" s="1">
        <v>0</v>
      </c>
      <c r="M118" s="1">
        <f t="shared" si="4"/>
        <v>10</v>
      </c>
      <c r="N118" s="11">
        <f t="shared" si="6"/>
        <v>10</v>
      </c>
    </row>
    <row r="119" spans="2:14" x14ac:dyDescent="0.2">
      <c r="B119" t="s">
        <v>110</v>
      </c>
      <c r="C119" t="s">
        <v>166</v>
      </c>
      <c r="D119" t="s">
        <v>95</v>
      </c>
      <c r="G119">
        <v>4</v>
      </c>
      <c r="H119">
        <v>0</v>
      </c>
      <c r="I119">
        <f t="shared" si="7"/>
        <v>4</v>
      </c>
      <c r="K119" s="1">
        <v>10</v>
      </c>
      <c r="L119" s="1">
        <v>0</v>
      </c>
      <c r="M119" s="1">
        <f t="shared" si="4"/>
        <v>10</v>
      </c>
      <c r="N119" s="11">
        <f t="shared" si="6"/>
        <v>40</v>
      </c>
    </row>
    <row r="120" spans="2:14" x14ac:dyDescent="0.2">
      <c r="B120" t="s">
        <v>110</v>
      </c>
      <c r="C120" t="s">
        <v>167</v>
      </c>
      <c r="D120" t="s">
        <v>91</v>
      </c>
      <c r="G120">
        <v>2</v>
      </c>
      <c r="H120">
        <v>0</v>
      </c>
      <c r="I120">
        <f t="shared" si="7"/>
        <v>2</v>
      </c>
      <c r="K120" s="1">
        <v>10</v>
      </c>
      <c r="L120" s="1">
        <v>0</v>
      </c>
      <c r="M120" s="1">
        <f t="shared" si="4"/>
        <v>10</v>
      </c>
      <c r="N120" s="11">
        <f t="shared" si="6"/>
        <v>20</v>
      </c>
    </row>
    <row r="121" spans="2:14" x14ac:dyDescent="0.2">
      <c r="B121" t="s">
        <v>112</v>
      </c>
      <c r="C121" t="s">
        <v>167</v>
      </c>
      <c r="D121" t="s">
        <v>97</v>
      </c>
      <c r="G121">
        <v>4</v>
      </c>
      <c r="H121">
        <v>2</v>
      </c>
      <c r="I121">
        <f t="shared" si="7"/>
        <v>2</v>
      </c>
      <c r="K121" s="1">
        <v>10</v>
      </c>
      <c r="L121" s="1">
        <v>0</v>
      </c>
      <c r="M121" s="1">
        <f t="shared" si="4"/>
        <v>10</v>
      </c>
      <c r="N121" s="11">
        <f t="shared" si="6"/>
        <v>40</v>
      </c>
    </row>
    <row r="122" spans="2:14" x14ac:dyDescent="0.2">
      <c r="B122" t="s">
        <v>110</v>
      </c>
      <c r="C122" t="s">
        <v>168</v>
      </c>
      <c r="D122" t="s">
        <v>91</v>
      </c>
      <c r="G122">
        <v>2</v>
      </c>
      <c r="H122">
        <v>0</v>
      </c>
      <c r="I122">
        <v>2</v>
      </c>
      <c r="K122" s="1">
        <v>10</v>
      </c>
      <c r="L122" s="1">
        <v>0</v>
      </c>
      <c r="M122" s="1">
        <f t="shared" si="4"/>
        <v>10</v>
      </c>
      <c r="N122" s="11">
        <f t="shared" si="6"/>
        <v>20</v>
      </c>
    </row>
    <row r="123" spans="2:14" x14ac:dyDescent="0.2">
      <c r="B123" t="s">
        <v>110</v>
      </c>
      <c r="C123" t="s">
        <v>169</v>
      </c>
      <c r="D123" t="s">
        <v>91</v>
      </c>
      <c r="G123">
        <v>1</v>
      </c>
      <c r="H123">
        <v>0</v>
      </c>
      <c r="I123">
        <f t="shared" si="7"/>
        <v>1</v>
      </c>
      <c r="K123" s="1">
        <v>10</v>
      </c>
      <c r="L123" s="1">
        <v>0</v>
      </c>
      <c r="M123" s="1">
        <f t="shared" si="4"/>
        <v>10</v>
      </c>
      <c r="N123" s="11">
        <f t="shared" si="6"/>
        <v>10</v>
      </c>
    </row>
    <row r="124" spans="2:14" x14ac:dyDescent="0.2">
      <c r="B124" t="s">
        <v>110</v>
      </c>
      <c r="C124" t="s">
        <v>170</v>
      </c>
      <c r="D124" t="s">
        <v>91</v>
      </c>
      <c r="G124">
        <v>1</v>
      </c>
      <c r="H124">
        <v>0</v>
      </c>
      <c r="I124">
        <f t="shared" si="7"/>
        <v>1</v>
      </c>
      <c r="K124" s="1">
        <v>10</v>
      </c>
      <c r="L124" s="1">
        <v>0</v>
      </c>
      <c r="M124" s="1">
        <f t="shared" si="4"/>
        <v>10</v>
      </c>
      <c r="N124" s="11">
        <f t="shared" si="6"/>
        <v>10</v>
      </c>
    </row>
    <row r="125" spans="2:14" x14ac:dyDescent="0.2">
      <c r="B125" t="s">
        <v>110</v>
      </c>
      <c r="C125" t="s">
        <v>170</v>
      </c>
      <c r="D125" t="s">
        <v>95</v>
      </c>
      <c r="G125">
        <v>1</v>
      </c>
      <c r="H125">
        <v>0</v>
      </c>
      <c r="I125">
        <f t="shared" si="7"/>
        <v>1</v>
      </c>
      <c r="K125" s="1">
        <v>10</v>
      </c>
      <c r="L125" s="1">
        <v>0</v>
      </c>
      <c r="M125" s="1">
        <f t="shared" si="4"/>
        <v>10</v>
      </c>
      <c r="N125" s="11">
        <f t="shared" si="6"/>
        <v>10</v>
      </c>
    </row>
    <row r="126" spans="2:14" x14ac:dyDescent="0.2">
      <c r="B126" t="s">
        <v>112</v>
      </c>
      <c r="C126" t="s">
        <v>170</v>
      </c>
      <c r="D126" t="s">
        <v>97</v>
      </c>
      <c r="G126">
        <v>1</v>
      </c>
      <c r="H126">
        <v>1</v>
      </c>
      <c r="I126">
        <f t="shared" si="7"/>
        <v>0</v>
      </c>
      <c r="K126" s="1">
        <v>10</v>
      </c>
      <c r="L126" s="1">
        <v>0</v>
      </c>
      <c r="M126" s="1">
        <f t="shared" si="4"/>
        <v>10</v>
      </c>
      <c r="N126" s="11">
        <f t="shared" si="6"/>
        <v>10</v>
      </c>
    </row>
    <row r="127" spans="2:14" x14ac:dyDescent="0.2">
      <c r="B127" t="s">
        <v>110</v>
      </c>
      <c r="C127" t="s">
        <v>171</v>
      </c>
      <c r="D127" t="s">
        <v>91</v>
      </c>
      <c r="G127">
        <v>1</v>
      </c>
      <c r="H127">
        <v>0</v>
      </c>
      <c r="I127">
        <f t="shared" si="7"/>
        <v>1</v>
      </c>
      <c r="K127" s="1">
        <v>10</v>
      </c>
      <c r="L127" s="1">
        <v>0</v>
      </c>
      <c r="M127" s="1">
        <f t="shared" si="4"/>
        <v>10</v>
      </c>
      <c r="N127" s="11">
        <f t="shared" si="6"/>
        <v>10</v>
      </c>
    </row>
    <row r="128" spans="2:14" x14ac:dyDescent="0.2">
      <c r="B128" t="s">
        <v>110</v>
      </c>
      <c r="C128" t="s">
        <v>172</v>
      </c>
      <c r="D128" t="s">
        <v>91</v>
      </c>
      <c r="G128">
        <v>1</v>
      </c>
      <c r="H128">
        <v>0</v>
      </c>
      <c r="I128">
        <f t="shared" si="7"/>
        <v>1</v>
      </c>
      <c r="K128" s="1">
        <v>10</v>
      </c>
      <c r="L128" s="1">
        <v>0</v>
      </c>
      <c r="M128" s="1">
        <f t="shared" si="4"/>
        <v>10</v>
      </c>
      <c r="N128" s="11">
        <f t="shared" si="6"/>
        <v>10</v>
      </c>
    </row>
    <row r="129" spans="2:14" x14ac:dyDescent="0.2">
      <c r="B129" t="s">
        <v>110</v>
      </c>
      <c r="C129" t="s">
        <v>173</v>
      </c>
      <c r="D129" t="s">
        <v>91</v>
      </c>
      <c r="G129">
        <v>1</v>
      </c>
      <c r="H129">
        <v>0</v>
      </c>
      <c r="I129">
        <f t="shared" ref="I129:I149" si="8">G129-H129</f>
        <v>1</v>
      </c>
      <c r="K129" s="1">
        <v>10</v>
      </c>
      <c r="L129" s="1">
        <v>0</v>
      </c>
      <c r="M129" s="1">
        <f t="shared" si="4"/>
        <v>10</v>
      </c>
      <c r="N129" s="11">
        <f t="shared" si="6"/>
        <v>10</v>
      </c>
    </row>
    <row r="130" spans="2:14" x14ac:dyDescent="0.2">
      <c r="B130" t="s">
        <v>110</v>
      </c>
      <c r="C130" t="s">
        <v>160</v>
      </c>
      <c r="D130" t="s">
        <v>91</v>
      </c>
      <c r="G130">
        <v>2</v>
      </c>
      <c r="H130">
        <v>0</v>
      </c>
      <c r="I130">
        <f t="shared" si="8"/>
        <v>2</v>
      </c>
      <c r="K130" s="1">
        <v>10</v>
      </c>
      <c r="L130" s="1">
        <v>0</v>
      </c>
      <c r="M130" s="1">
        <f t="shared" ref="M130:M193" si="9">K130+L130</f>
        <v>10</v>
      </c>
      <c r="N130" s="11">
        <f t="shared" si="6"/>
        <v>20</v>
      </c>
    </row>
    <row r="131" spans="2:14" x14ac:dyDescent="0.2">
      <c r="B131" t="s">
        <v>110</v>
      </c>
      <c r="C131" t="s">
        <v>174</v>
      </c>
      <c r="D131" t="s">
        <v>95</v>
      </c>
      <c r="G131">
        <v>1</v>
      </c>
      <c r="H131">
        <v>0</v>
      </c>
      <c r="I131">
        <f t="shared" si="8"/>
        <v>1</v>
      </c>
      <c r="K131" s="1">
        <v>10</v>
      </c>
      <c r="L131" s="1">
        <v>0</v>
      </c>
      <c r="M131" s="1">
        <f t="shared" si="9"/>
        <v>10</v>
      </c>
      <c r="N131" s="11">
        <f t="shared" ref="N131:N194" si="10">G131*K131</f>
        <v>10</v>
      </c>
    </row>
    <row r="132" spans="2:14" x14ac:dyDescent="0.2">
      <c r="B132" t="s">
        <v>110</v>
      </c>
      <c r="C132" t="s">
        <v>175</v>
      </c>
      <c r="D132" t="s">
        <v>91</v>
      </c>
      <c r="G132">
        <v>1</v>
      </c>
      <c r="H132">
        <v>0</v>
      </c>
      <c r="I132">
        <f t="shared" si="8"/>
        <v>1</v>
      </c>
      <c r="K132" s="1">
        <v>10</v>
      </c>
      <c r="L132" s="1">
        <v>0</v>
      </c>
      <c r="M132" s="1">
        <f t="shared" si="9"/>
        <v>10</v>
      </c>
      <c r="N132" s="11">
        <f t="shared" si="10"/>
        <v>10</v>
      </c>
    </row>
    <row r="133" spans="2:14" x14ac:dyDescent="0.2">
      <c r="B133" t="s">
        <v>110</v>
      </c>
      <c r="C133" t="s">
        <v>176</v>
      </c>
      <c r="D133" t="s">
        <v>95</v>
      </c>
      <c r="G133">
        <v>1</v>
      </c>
      <c r="H133">
        <v>0</v>
      </c>
      <c r="I133">
        <f t="shared" si="8"/>
        <v>1</v>
      </c>
      <c r="K133" s="1">
        <v>10</v>
      </c>
      <c r="L133" s="1">
        <v>0</v>
      </c>
      <c r="M133" s="1">
        <f t="shared" si="9"/>
        <v>10</v>
      </c>
      <c r="N133" s="11">
        <f t="shared" si="10"/>
        <v>10</v>
      </c>
    </row>
    <row r="134" spans="2:14" x14ac:dyDescent="0.2">
      <c r="B134" t="s">
        <v>110</v>
      </c>
      <c r="C134" t="s">
        <v>174</v>
      </c>
      <c r="D134" t="s">
        <v>91</v>
      </c>
      <c r="G134">
        <v>1</v>
      </c>
      <c r="H134">
        <v>0</v>
      </c>
      <c r="I134">
        <f t="shared" si="8"/>
        <v>1</v>
      </c>
      <c r="K134" s="1">
        <v>10</v>
      </c>
      <c r="L134" s="1">
        <v>0</v>
      </c>
      <c r="M134" s="1">
        <f t="shared" si="9"/>
        <v>10</v>
      </c>
      <c r="N134" s="11">
        <f t="shared" si="10"/>
        <v>10</v>
      </c>
    </row>
    <row r="135" spans="2:14" x14ac:dyDescent="0.2">
      <c r="B135" t="s">
        <v>121</v>
      </c>
      <c r="C135" t="s">
        <v>177</v>
      </c>
      <c r="D135" t="s">
        <v>34</v>
      </c>
      <c r="G135">
        <v>7</v>
      </c>
      <c r="H135">
        <v>0</v>
      </c>
      <c r="I135">
        <f t="shared" si="8"/>
        <v>7</v>
      </c>
      <c r="K135" s="1">
        <v>10</v>
      </c>
      <c r="L135" s="1">
        <v>0</v>
      </c>
      <c r="M135" s="1">
        <f t="shared" si="9"/>
        <v>10</v>
      </c>
      <c r="N135" s="11">
        <f t="shared" si="10"/>
        <v>70</v>
      </c>
    </row>
    <row r="136" spans="2:14" x14ac:dyDescent="0.2">
      <c r="B136" t="s">
        <v>121</v>
      </c>
      <c r="C136" t="s">
        <v>178</v>
      </c>
      <c r="D136" t="s">
        <v>34</v>
      </c>
      <c r="G136">
        <v>3</v>
      </c>
      <c r="H136">
        <v>0</v>
      </c>
      <c r="I136">
        <f t="shared" si="8"/>
        <v>3</v>
      </c>
      <c r="K136" s="1">
        <v>10</v>
      </c>
      <c r="L136" s="1">
        <v>0</v>
      </c>
      <c r="M136" s="1">
        <f t="shared" si="9"/>
        <v>10</v>
      </c>
      <c r="N136" s="11">
        <f t="shared" si="10"/>
        <v>30</v>
      </c>
    </row>
    <row r="137" spans="2:14" x14ac:dyDescent="0.2">
      <c r="B137" t="s">
        <v>110</v>
      </c>
      <c r="C137" t="s">
        <v>179</v>
      </c>
      <c r="D137" t="s">
        <v>95</v>
      </c>
      <c r="G137">
        <v>1</v>
      </c>
      <c r="H137">
        <v>0</v>
      </c>
      <c r="I137">
        <f t="shared" si="8"/>
        <v>1</v>
      </c>
      <c r="K137" s="1">
        <v>10</v>
      </c>
      <c r="L137" s="1">
        <v>0</v>
      </c>
      <c r="M137" s="1">
        <f t="shared" si="9"/>
        <v>10</v>
      </c>
      <c r="N137" s="11">
        <f t="shared" si="10"/>
        <v>10</v>
      </c>
    </row>
    <row r="138" spans="2:14" x14ac:dyDescent="0.2">
      <c r="B138" t="s">
        <v>112</v>
      </c>
      <c r="C138" t="s">
        <v>178</v>
      </c>
      <c r="D138" t="s">
        <v>97</v>
      </c>
      <c r="G138">
        <v>4</v>
      </c>
      <c r="H138">
        <v>0</v>
      </c>
      <c r="I138">
        <f t="shared" si="8"/>
        <v>4</v>
      </c>
      <c r="K138" s="1">
        <v>10</v>
      </c>
      <c r="L138" s="1">
        <v>0</v>
      </c>
      <c r="M138" s="1">
        <f t="shared" si="9"/>
        <v>10</v>
      </c>
      <c r="N138" s="11">
        <f t="shared" si="10"/>
        <v>40</v>
      </c>
    </row>
    <row r="139" spans="2:14" x14ac:dyDescent="0.2">
      <c r="B139" t="s">
        <v>120</v>
      </c>
      <c r="C139" t="s">
        <v>178</v>
      </c>
      <c r="D139" t="s">
        <v>27</v>
      </c>
      <c r="G139">
        <v>3</v>
      </c>
      <c r="H139">
        <v>0</v>
      </c>
      <c r="I139">
        <f t="shared" si="8"/>
        <v>3</v>
      </c>
      <c r="K139" s="1">
        <v>10</v>
      </c>
      <c r="L139" s="1">
        <v>0</v>
      </c>
      <c r="M139" s="1">
        <f t="shared" si="9"/>
        <v>10</v>
      </c>
      <c r="N139" s="11">
        <f t="shared" si="10"/>
        <v>30</v>
      </c>
    </row>
    <row r="140" spans="2:14" x14ac:dyDescent="0.2">
      <c r="B140" t="s">
        <v>110</v>
      </c>
      <c r="C140" t="s">
        <v>177</v>
      </c>
      <c r="D140" t="s">
        <v>91</v>
      </c>
      <c r="G140">
        <v>2</v>
      </c>
      <c r="H140">
        <v>0</v>
      </c>
      <c r="I140">
        <f t="shared" si="8"/>
        <v>2</v>
      </c>
      <c r="K140" s="1">
        <v>10</v>
      </c>
      <c r="L140" s="1">
        <v>0</v>
      </c>
      <c r="M140" s="1">
        <f t="shared" si="9"/>
        <v>10</v>
      </c>
      <c r="N140" s="11">
        <f t="shared" si="10"/>
        <v>20</v>
      </c>
    </row>
    <row r="141" spans="2:14" x14ac:dyDescent="0.2">
      <c r="B141" t="s">
        <v>110</v>
      </c>
      <c r="C141" t="s">
        <v>180</v>
      </c>
      <c r="D141" t="s">
        <v>91</v>
      </c>
      <c r="G141">
        <v>2</v>
      </c>
      <c r="H141">
        <v>0</v>
      </c>
      <c r="I141">
        <f t="shared" si="8"/>
        <v>2</v>
      </c>
      <c r="K141" s="1">
        <v>10</v>
      </c>
      <c r="L141" s="1">
        <v>0</v>
      </c>
      <c r="M141" s="1">
        <f t="shared" si="9"/>
        <v>10</v>
      </c>
      <c r="N141" s="11">
        <f t="shared" si="10"/>
        <v>20</v>
      </c>
    </row>
    <row r="142" spans="2:14" x14ac:dyDescent="0.2">
      <c r="B142" t="s">
        <v>121</v>
      </c>
      <c r="C142" t="s">
        <v>181</v>
      </c>
      <c r="D142" t="s">
        <v>34</v>
      </c>
      <c r="G142">
        <v>2</v>
      </c>
      <c r="H142">
        <v>0</v>
      </c>
      <c r="I142">
        <f t="shared" si="8"/>
        <v>2</v>
      </c>
      <c r="K142" s="1">
        <v>10</v>
      </c>
      <c r="L142" s="1">
        <v>0</v>
      </c>
      <c r="M142" s="1">
        <f t="shared" si="9"/>
        <v>10</v>
      </c>
      <c r="N142" s="11">
        <f t="shared" si="10"/>
        <v>20</v>
      </c>
    </row>
    <row r="143" spans="2:14" x14ac:dyDescent="0.2">
      <c r="B143" t="s">
        <v>110</v>
      </c>
      <c r="C143" t="s">
        <v>182</v>
      </c>
      <c r="D143" t="s">
        <v>91</v>
      </c>
      <c r="G143">
        <v>4</v>
      </c>
      <c r="H143">
        <v>0</v>
      </c>
      <c r="I143">
        <f t="shared" si="8"/>
        <v>4</v>
      </c>
      <c r="K143" s="1">
        <v>10</v>
      </c>
      <c r="L143" s="1">
        <v>0</v>
      </c>
      <c r="M143" s="1">
        <f t="shared" si="9"/>
        <v>10</v>
      </c>
      <c r="N143" s="11">
        <f t="shared" si="10"/>
        <v>40</v>
      </c>
    </row>
    <row r="144" spans="2:14" x14ac:dyDescent="0.2">
      <c r="B144" t="s">
        <v>110</v>
      </c>
      <c r="C144" t="s">
        <v>183</v>
      </c>
      <c r="D144" t="s">
        <v>95</v>
      </c>
      <c r="G144">
        <v>2</v>
      </c>
      <c r="H144">
        <v>0</v>
      </c>
      <c r="I144">
        <f t="shared" si="8"/>
        <v>2</v>
      </c>
      <c r="K144" s="1">
        <v>10</v>
      </c>
      <c r="L144" s="1">
        <v>0</v>
      </c>
      <c r="M144" s="1">
        <f t="shared" si="9"/>
        <v>10</v>
      </c>
      <c r="N144" s="11">
        <f t="shared" si="10"/>
        <v>20</v>
      </c>
    </row>
    <row r="145" spans="2:14" x14ac:dyDescent="0.2">
      <c r="B145" t="s">
        <v>110</v>
      </c>
      <c r="C145" t="s">
        <v>184</v>
      </c>
      <c r="D145" t="s">
        <v>95</v>
      </c>
      <c r="G145">
        <v>1</v>
      </c>
      <c r="H145">
        <v>0</v>
      </c>
      <c r="I145">
        <f t="shared" si="8"/>
        <v>1</v>
      </c>
      <c r="K145" s="1">
        <v>10</v>
      </c>
      <c r="L145" s="1">
        <v>0</v>
      </c>
      <c r="M145" s="1">
        <f t="shared" si="9"/>
        <v>10</v>
      </c>
      <c r="N145" s="11">
        <f t="shared" si="10"/>
        <v>10</v>
      </c>
    </row>
    <row r="146" spans="2:14" x14ac:dyDescent="0.2">
      <c r="B146" t="s">
        <v>112</v>
      </c>
      <c r="C146" t="s">
        <v>185</v>
      </c>
      <c r="D146" t="s">
        <v>97</v>
      </c>
      <c r="G146">
        <v>1</v>
      </c>
      <c r="H146">
        <v>0</v>
      </c>
      <c r="I146">
        <f t="shared" si="8"/>
        <v>1</v>
      </c>
      <c r="K146" s="1">
        <v>10</v>
      </c>
      <c r="L146" s="1">
        <v>0</v>
      </c>
      <c r="M146" s="1">
        <f t="shared" si="9"/>
        <v>10</v>
      </c>
      <c r="N146" s="11">
        <f t="shared" si="10"/>
        <v>10</v>
      </c>
    </row>
    <row r="147" spans="2:14" x14ac:dyDescent="0.2">
      <c r="B147" t="s">
        <v>110</v>
      </c>
      <c r="C147" t="s">
        <v>185</v>
      </c>
      <c r="D147" t="s">
        <v>95</v>
      </c>
      <c r="G147">
        <v>1</v>
      </c>
      <c r="H147">
        <v>0</v>
      </c>
      <c r="I147">
        <f t="shared" si="8"/>
        <v>1</v>
      </c>
      <c r="K147" s="1">
        <v>10</v>
      </c>
      <c r="L147" s="1">
        <v>0</v>
      </c>
      <c r="M147" s="1">
        <f t="shared" si="9"/>
        <v>10</v>
      </c>
      <c r="N147" s="11">
        <f t="shared" si="10"/>
        <v>10</v>
      </c>
    </row>
    <row r="148" spans="2:14" x14ac:dyDescent="0.2">
      <c r="B148" t="s">
        <v>121</v>
      </c>
      <c r="C148" t="s">
        <v>183</v>
      </c>
      <c r="D148" t="s">
        <v>34</v>
      </c>
      <c r="G148">
        <v>3</v>
      </c>
      <c r="H148">
        <v>0</v>
      </c>
      <c r="I148">
        <f t="shared" si="8"/>
        <v>3</v>
      </c>
      <c r="K148" s="1">
        <v>10</v>
      </c>
      <c r="L148" s="1">
        <v>0</v>
      </c>
      <c r="M148" s="1">
        <f t="shared" si="9"/>
        <v>10</v>
      </c>
      <c r="N148" s="11">
        <f t="shared" si="10"/>
        <v>30</v>
      </c>
    </row>
    <row r="149" spans="2:14" x14ac:dyDescent="0.2">
      <c r="B149" t="s">
        <v>112</v>
      </c>
      <c r="C149" t="s">
        <v>183</v>
      </c>
      <c r="D149" t="s">
        <v>97</v>
      </c>
      <c r="G149">
        <v>1</v>
      </c>
      <c r="H149">
        <v>0</v>
      </c>
      <c r="I149">
        <f t="shared" si="8"/>
        <v>1</v>
      </c>
      <c r="K149" s="1">
        <v>10</v>
      </c>
      <c r="L149" s="1">
        <v>0</v>
      </c>
      <c r="M149" s="1">
        <f t="shared" si="9"/>
        <v>10</v>
      </c>
      <c r="N149" s="11">
        <f t="shared" si="10"/>
        <v>10</v>
      </c>
    </row>
    <row r="150" spans="2:14" x14ac:dyDescent="0.2">
      <c r="B150" t="s">
        <v>110</v>
      </c>
      <c r="C150" t="s">
        <v>186</v>
      </c>
      <c r="D150" t="s">
        <v>91</v>
      </c>
      <c r="G150">
        <v>1</v>
      </c>
      <c r="H150">
        <v>0</v>
      </c>
      <c r="I150">
        <v>1</v>
      </c>
      <c r="K150" s="1">
        <v>10</v>
      </c>
      <c r="L150" s="1">
        <v>0</v>
      </c>
      <c r="M150" s="1">
        <f t="shared" si="9"/>
        <v>10</v>
      </c>
      <c r="N150" s="11">
        <f t="shared" si="10"/>
        <v>10</v>
      </c>
    </row>
    <row r="151" spans="2:14" x14ac:dyDescent="0.2">
      <c r="B151" t="s">
        <v>110</v>
      </c>
      <c r="C151" t="s">
        <v>187</v>
      </c>
      <c r="D151" t="s">
        <v>91</v>
      </c>
      <c r="G151">
        <v>1</v>
      </c>
      <c r="H151">
        <v>1</v>
      </c>
      <c r="I151">
        <v>0</v>
      </c>
      <c r="K151" s="1">
        <v>10</v>
      </c>
      <c r="L151" s="1">
        <v>0</v>
      </c>
      <c r="M151" s="1">
        <f t="shared" si="9"/>
        <v>10</v>
      </c>
      <c r="N151" s="11">
        <f t="shared" si="10"/>
        <v>10</v>
      </c>
    </row>
    <row r="152" spans="2:14" x14ac:dyDescent="0.2">
      <c r="B152" t="s">
        <v>112</v>
      </c>
      <c r="C152" t="s">
        <v>188</v>
      </c>
      <c r="D152" t="s">
        <v>97</v>
      </c>
      <c r="G152">
        <v>1</v>
      </c>
      <c r="H152">
        <v>0</v>
      </c>
      <c r="I152">
        <v>1</v>
      </c>
      <c r="K152" s="1">
        <v>10</v>
      </c>
      <c r="L152" s="1">
        <v>0</v>
      </c>
      <c r="M152" s="1">
        <f t="shared" si="9"/>
        <v>10</v>
      </c>
      <c r="N152" s="11">
        <f t="shared" si="10"/>
        <v>10</v>
      </c>
    </row>
    <row r="153" spans="2:14" x14ac:dyDescent="0.2">
      <c r="B153" t="s">
        <v>99</v>
      </c>
      <c r="C153" t="s">
        <v>189</v>
      </c>
      <c r="D153" t="s">
        <v>34</v>
      </c>
      <c r="G153">
        <v>1</v>
      </c>
      <c r="H153">
        <v>1</v>
      </c>
      <c r="I153">
        <v>0</v>
      </c>
      <c r="K153" s="1">
        <v>10</v>
      </c>
      <c r="L153" s="1">
        <v>0</v>
      </c>
      <c r="M153" s="1">
        <f t="shared" si="9"/>
        <v>10</v>
      </c>
      <c r="N153" s="11">
        <f t="shared" si="10"/>
        <v>10</v>
      </c>
    </row>
    <row r="154" spans="2:14" x14ac:dyDescent="0.2">
      <c r="B154" t="s">
        <v>93</v>
      </c>
      <c r="C154" t="s">
        <v>190</v>
      </c>
      <c r="D154" t="s">
        <v>95</v>
      </c>
      <c r="G154">
        <v>1</v>
      </c>
      <c r="H154">
        <v>1</v>
      </c>
      <c r="I154">
        <v>0</v>
      </c>
      <c r="K154" s="1">
        <v>10</v>
      </c>
      <c r="L154" s="1">
        <v>0</v>
      </c>
      <c r="M154" s="1">
        <f t="shared" si="9"/>
        <v>10</v>
      </c>
      <c r="N154" s="11">
        <f t="shared" si="10"/>
        <v>10</v>
      </c>
    </row>
    <row r="155" spans="2:14" x14ac:dyDescent="0.2">
      <c r="B155" t="s">
        <v>93</v>
      </c>
      <c r="C155" t="s">
        <v>191</v>
      </c>
      <c r="D155" t="s">
        <v>95</v>
      </c>
      <c r="G155">
        <v>1</v>
      </c>
      <c r="H155">
        <v>1</v>
      </c>
      <c r="I155">
        <v>0</v>
      </c>
      <c r="K155" s="1">
        <v>10</v>
      </c>
      <c r="L155" s="1">
        <v>0</v>
      </c>
      <c r="M155" s="1">
        <f t="shared" si="9"/>
        <v>10</v>
      </c>
      <c r="N155" s="11">
        <f t="shared" si="10"/>
        <v>10</v>
      </c>
    </row>
    <row r="156" spans="2:14" x14ac:dyDescent="0.2">
      <c r="B156" t="s">
        <v>93</v>
      </c>
      <c r="C156" t="s">
        <v>192</v>
      </c>
      <c r="D156" t="s">
        <v>91</v>
      </c>
      <c r="G156">
        <v>6</v>
      </c>
      <c r="H156">
        <v>3</v>
      </c>
      <c r="I156">
        <v>3</v>
      </c>
      <c r="K156" s="1">
        <v>10</v>
      </c>
      <c r="L156" s="1">
        <v>0</v>
      </c>
      <c r="M156" s="1">
        <f t="shared" si="9"/>
        <v>10</v>
      </c>
      <c r="N156" s="11">
        <f t="shared" si="10"/>
        <v>60</v>
      </c>
    </row>
    <row r="157" spans="2:14" x14ac:dyDescent="0.2">
      <c r="B157" t="s">
        <v>96</v>
      </c>
      <c r="C157" t="s">
        <v>193</v>
      </c>
      <c r="D157" t="s">
        <v>97</v>
      </c>
      <c r="G157">
        <v>10</v>
      </c>
      <c r="H157">
        <v>2</v>
      </c>
      <c r="I157">
        <v>8</v>
      </c>
      <c r="K157" s="1">
        <v>10</v>
      </c>
      <c r="L157" s="1">
        <v>0</v>
      </c>
      <c r="M157" s="1">
        <f t="shared" si="9"/>
        <v>10</v>
      </c>
      <c r="N157" s="11">
        <f t="shared" si="10"/>
        <v>100</v>
      </c>
    </row>
    <row r="158" spans="2:14" x14ac:dyDescent="0.2">
      <c r="B158" t="s">
        <v>93</v>
      </c>
      <c r="C158" t="s">
        <v>193</v>
      </c>
      <c r="D158" t="s">
        <v>91</v>
      </c>
      <c r="G158">
        <v>5</v>
      </c>
      <c r="H158">
        <v>2</v>
      </c>
      <c r="I158">
        <v>3</v>
      </c>
      <c r="K158" s="1">
        <v>10</v>
      </c>
      <c r="L158" s="1">
        <v>0</v>
      </c>
      <c r="M158" s="1">
        <f t="shared" si="9"/>
        <v>10</v>
      </c>
      <c r="N158" s="11">
        <f t="shared" si="10"/>
        <v>50</v>
      </c>
    </row>
    <row r="159" spans="2:14" x14ac:dyDescent="0.2">
      <c r="B159" t="s">
        <v>99</v>
      </c>
      <c r="C159" t="s">
        <v>193</v>
      </c>
      <c r="D159" t="s">
        <v>17</v>
      </c>
      <c r="G159">
        <v>1</v>
      </c>
      <c r="H159">
        <v>1</v>
      </c>
      <c r="I159">
        <v>0</v>
      </c>
      <c r="K159" s="1">
        <v>10</v>
      </c>
      <c r="L159" s="1">
        <v>0</v>
      </c>
      <c r="M159" s="1">
        <f t="shared" si="9"/>
        <v>10</v>
      </c>
      <c r="N159" s="11">
        <f t="shared" si="10"/>
        <v>10</v>
      </c>
    </row>
    <row r="160" spans="2:14" x14ac:dyDescent="0.2">
      <c r="B160" t="s">
        <v>112</v>
      </c>
      <c r="C160" t="s">
        <v>194</v>
      </c>
      <c r="D160" t="s">
        <v>97</v>
      </c>
      <c r="G160">
        <v>2</v>
      </c>
      <c r="H160">
        <v>1</v>
      </c>
      <c r="I160">
        <v>1</v>
      </c>
      <c r="K160" s="1">
        <v>10</v>
      </c>
      <c r="L160" s="1">
        <v>0</v>
      </c>
      <c r="M160" s="1">
        <f t="shared" si="9"/>
        <v>10</v>
      </c>
      <c r="N160" s="11">
        <f t="shared" si="10"/>
        <v>20</v>
      </c>
    </row>
    <row r="161" spans="2:14" x14ac:dyDescent="0.2">
      <c r="B161" t="s">
        <v>112</v>
      </c>
      <c r="C161" t="s">
        <v>195</v>
      </c>
      <c r="D161" t="s">
        <v>97</v>
      </c>
      <c r="G161">
        <v>2</v>
      </c>
      <c r="H161">
        <v>1</v>
      </c>
      <c r="I161">
        <v>1</v>
      </c>
      <c r="K161" s="1">
        <v>10</v>
      </c>
      <c r="L161" s="1">
        <v>0</v>
      </c>
      <c r="M161" s="1">
        <f t="shared" si="9"/>
        <v>10</v>
      </c>
      <c r="N161" s="11">
        <f t="shared" si="10"/>
        <v>20</v>
      </c>
    </row>
    <row r="162" spans="2:14" x14ac:dyDescent="0.2">
      <c r="B162" t="s">
        <v>110</v>
      </c>
      <c r="C162" t="s">
        <v>195</v>
      </c>
      <c r="D162" t="s">
        <v>91</v>
      </c>
      <c r="G162">
        <v>3</v>
      </c>
      <c r="H162">
        <v>3</v>
      </c>
      <c r="I162">
        <v>0</v>
      </c>
      <c r="K162" s="1">
        <v>10</v>
      </c>
      <c r="L162" s="1">
        <v>0</v>
      </c>
      <c r="M162" s="1">
        <f t="shared" si="9"/>
        <v>10</v>
      </c>
      <c r="N162" s="11">
        <f t="shared" si="10"/>
        <v>30</v>
      </c>
    </row>
    <row r="163" spans="2:14" x14ac:dyDescent="0.2">
      <c r="B163" t="s">
        <v>110</v>
      </c>
      <c r="C163" t="s">
        <v>195</v>
      </c>
      <c r="D163" t="s">
        <v>95</v>
      </c>
      <c r="G163">
        <v>3</v>
      </c>
      <c r="H163">
        <v>1</v>
      </c>
      <c r="I163">
        <v>2</v>
      </c>
      <c r="K163" s="1">
        <v>10</v>
      </c>
      <c r="L163" s="1">
        <v>0</v>
      </c>
      <c r="M163" s="1">
        <f t="shared" si="9"/>
        <v>10</v>
      </c>
      <c r="N163" s="11">
        <f t="shared" si="10"/>
        <v>30</v>
      </c>
    </row>
    <row r="164" spans="2:14" x14ac:dyDescent="0.2">
      <c r="B164" t="s">
        <v>110</v>
      </c>
      <c r="C164" t="s">
        <v>194</v>
      </c>
      <c r="D164" t="s">
        <v>95</v>
      </c>
      <c r="G164">
        <v>3</v>
      </c>
      <c r="H164">
        <v>2</v>
      </c>
      <c r="I164">
        <v>1</v>
      </c>
      <c r="K164" s="1">
        <v>10</v>
      </c>
      <c r="L164" s="1">
        <v>0</v>
      </c>
      <c r="M164" s="1">
        <f t="shared" si="9"/>
        <v>10</v>
      </c>
      <c r="N164" s="11">
        <f t="shared" si="10"/>
        <v>30</v>
      </c>
    </row>
    <row r="165" spans="2:14" x14ac:dyDescent="0.2">
      <c r="B165" t="s">
        <v>121</v>
      </c>
      <c r="C165" t="s">
        <v>194</v>
      </c>
      <c r="D165" t="s">
        <v>34</v>
      </c>
      <c r="G165">
        <v>1</v>
      </c>
      <c r="H165">
        <v>1</v>
      </c>
      <c r="I165">
        <v>0</v>
      </c>
      <c r="K165" s="1">
        <v>10</v>
      </c>
      <c r="L165" s="1">
        <v>0</v>
      </c>
      <c r="M165" s="1">
        <f t="shared" si="9"/>
        <v>10</v>
      </c>
      <c r="N165" s="11">
        <f t="shared" si="10"/>
        <v>10</v>
      </c>
    </row>
    <row r="166" spans="2:14" x14ac:dyDescent="0.2">
      <c r="B166" t="s">
        <v>121</v>
      </c>
      <c r="C166" t="s">
        <v>195</v>
      </c>
      <c r="D166" t="s">
        <v>34</v>
      </c>
      <c r="G166">
        <v>5</v>
      </c>
      <c r="H166">
        <v>2</v>
      </c>
      <c r="I166">
        <v>3</v>
      </c>
      <c r="K166" s="1">
        <v>10</v>
      </c>
      <c r="L166" s="1">
        <v>0</v>
      </c>
      <c r="M166" s="1">
        <f t="shared" si="9"/>
        <v>10</v>
      </c>
      <c r="N166" s="11">
        <f t="shared" si="10"/>
        <v>50</v>
      </c>
    </row>
    <row r="167" spans="2:14" x14ac:dyDescent="0.2">
      <c r="B167" t="s">
        <v>121</v>
      </c>
      <c r="C167" t="s">
        <v>196</v>
      </c>
      <c r="D167" t="s">
        <v>34</v>
      </c>
      <c r="G167">
        <v>1</v>
      </c>
      <c r="H167">
        <v>1</v>
      </c>
      <c r="I167">
        <v>1</v>
      </c>
      <c r="K167" s="1">
        <v>10</v>
      </c>
      <c r="L167" s="1">
        <v>0</v>
      </c>
      <c r="M167" s="1">
        <f t="shared" si="9"/>
        <v>10</v>
      </c>
      <c r="N167" s="11">
        <f t="shared" si="10"/>
        <v>10</v>
      </c>
    </row>
    <row r="168" spans="2:14" x14ac:dyDescent="0.2">
      <c r="B168" t="s">
        <v>121</v>
      </c>
      <c r="C168" t="s">
        <v>197</v>
      </c>
      <c r="D168" t="s">
        <v>17</v>
      </c>
      <c r="G168">
        <v>1</v>
      </c>
      <c r="H168">
        <v>1</v>
      </c>
      <c r="I168">
        <v>0</v>
      </c>
      <c r="K168" s="1">
        <v>10</v>
      </c>
      <c r="L168" s="1">
        <v>0</v>
      </c>
      <c r="M168" s="1">
        <f t="shared" si="9"/>
        <v>10</v>
      </c>
      <c r="N168" s="11">
        <f t="shared" si="10"/>
        <v>10</v>
      </c>
    </row>
    <row r="169" spans="2:14" x14ac:dyDescent="0.2">
      <c r="B169" t="s">
        <v>121</v>
      </c>
      <c r="C169" t="s">
        <v>198</v>
      </c>
      <c r="D169" t="s">
        <v>17</v>
      </c>
      <c r="G169">
        <v>1</v>
      </c>
      <c r="H169">
        <v>0</v>
      </c>
      <c r="I169">
        <v>1</v>
      </c>
      <c r="K169" s="1">
        <v>10</v>
      </c>
      <c r="L169" s="1">
        <v>0</v>
      </c>
      <c r="M169" s="1">
        <f t="shared" si="9"/>
        <v>10</v>
      </c>
      <c r="N169" s="11">
        <f t="shared" si="10"/>
        <v>10</v>
      </c>
    </row>
    <row r="170" spans="2:14" x14ac:dyDescent="0.2">
      <c r="B170" t="s">
        <v>120</v>
      </c>
      <c r="C170" t="s">
        <v>198</v>
      </c>
      <c r="D170" t="s">
        <v>27</v>
      </c>
      <c r="G170">
        <v>1</v>
      </c>
      <c r="H170">
        <v>1</v>
      </c>
      <c r="I170">
        <v>0</v>
      </c>
      <c r="K170" s="1">
        <v>10</v>
      </c>
      <c r="L170" s="1">
        <v>0</v>
      </c>
      <c r="M170" s="1">
        <f t="shared" si="9"/>
        <v>10</v>
      </c>
      <c r="N170" s="11">
        <f t="shared" si="10"/>
        <v>10</v>
      </c>
    </row>
    <row r="171" spans="2:14" x14ac:dyDescent="0.2">
      <c r="B171" t="s">
        <v>120</v>
      </c>
      <c r="C171" t="s">
        <v>194</v>
      </c>
      <c r="D171" t="s">
        <v>27</v>
      </c>
      <c r="G171">
        <v>1</v>
      </c>
      <c r="H171">
        <v>1</v>
      </c>
      <c r="I171">
        <v>0</v>
      </c>
      <c r="K171" s="1">
        <v>10</v>
      </c>
      <c r="L171" s="1">
        <v>0</v>
      </c>
      <c r="M171" s="1">
        <f t="shared" si="9"/>
        <v>10</v>
      </c>
      <c r="N171" s="11">
        <f t="shared" si="10"/>
        <v>10</v>
      </c>
    </row>
    <row r="172" spans="2:14" x14ac:dyDescent="0.2">
      <c r="B172" t="s">
        <v>121</v>
      </c>
      <c r="C172" t="s">
        <v>199</v>
      </c>
      <c r="D172" t="s">
        <v>34</v>
      </c>
      <c r="G172">
        <v>1</v>
      </c>
      <c r="H172">
        <v>1</v>
      </c>
      <c r="I172">
        <v>1</v>
      </c>
      <c r="K172" s="1">
        <v>10</v>
      </c>
      <c r="L172" s="1">
        <v>0</v>
      </c>
      <c r="M172" s="1">
        <f t="shared" si="9"/>
        <v>10</v>
      </c>
      <c r="N172" s="11">
        <f t="shared" si="10"/>
        <v>10</v>
      </c>
    </row>
    <row r="173" spans="2:14" x14ac:dyDescent="0.2">
      <c r="B173" t="s">
        <v>110</v>
      </c>
      <c r="C173" t="s">
        <v>194</v>
      </c>
      <c r="D173" t="s">
        <v>91</v>
      </c>
      <c r="G173">
        <v>5</v>
      </c>
      <c r="H173">
        <v>1</v>
      </c>
      <c r="I173">
        <v>4</v>
      </c>
      <c r="K173" s="1">
        <v>10</v>
      </c>
      <c r="L173" s="1">
        <v>0</v>
      </c>
      <c r="M173" s="1">
        <f t="shared" si="9"/>
        <v>10</v>
      </c>
      <c r="N173" s="11">
        <f t="shared" si="10"/>
        <v>50</v>
      </c>
    </row>
    <row r="174" spans="2:14" x14ac:dyDescent="0.2">
      <c r="B174" t="s">
        <v>121</v>
      </c>
      <c r="C174" t="s">
        <v>200</v>
      </c>
      <c r="D174" t="s">
        <v>34</v>
      </c>
      <c r="G174">
        <v>3</v>
      </c>
      <c r="H174">
        <v>3</v>
      </c>
      <c r="I174">
        <v>0</v>
      </c>
      <c r="K174" s="1">
        <v>10</v>
      </c>
      <c r="L174" s="1">
        <v>0</v>
      </c>
      <c r="M174" s="1">
        <f t="shared" si="9"/>
        <v>10</v>
      </c>
      <c r="N174" s="11">
        <f t="shared" si="10"/>
        <v>30</v>
      </c>
    </row>
    <row r="175" spans="2:14" x14ac:dyDescent="0.2">
      <c r="B175" t="s">
        <v>110</v>
      </c>
      <c r="C175" t="s">
        <v>198</v>
      </c>
      <c r="D175" t="s">
        <v>91</v>
      </c>
      <c r="G175">
        <v>4</v>
      </c>
      <c r="H175">
        <v>2</v>
      </c>
      <c r="I175">
        <v>2</v>
      </c>
      <c r="K175" s="1">
        <v>10</v>
      </c>
      <c r="L175" s="1">
        <v>0</v>
      </c>
      <c r="M175" s="1">
        <f t="shared" si="9"/>
        <v>10</v>
      </c>
      <c r="N175" s="11">
        <f t="shared" si="10"/>
        <v>40</v>
      </c>
    </row>
    <row r="176" spans="2:14" x14ac:dyDescent="0.2">
      <c r="B176" t="s">
        <v>110</v>
      </c>
      <c r="C176" t="s">
        <v>201</v>
      </c>
      <c r="D176" t="s">
        <v>91</v>
      </c>
      <c r="G176">
        <v>1</v>
      </c>
      <c r="H176">
        <v>1</v>
      </c>
      <c r="I176">
        <v>0</v>
      </c>
      <c r="K176" s="1">
        <v>10</v>
      </c>
      <c r="L176" s="1">
        <v>0</v>
      </c>
      <c r="M176" s="1">
        <f t="shared" si="9"/>
        <v>10</v>
      </c>
      <c r="N176" s="11">
        <f t="shared" si="10"/>
        <v>10</v>
      </c>
    </row>
    <row r="177" spans="2:14" x14ac:dyDescent="0.2">
      <c r="B177" t="s">
        <v>121</v>
      </c>
      <c r="C177" t="s">
        <v>198</v>
      </c>
      <c r="D177" t="s">
        <v>34</v>
      </c>
      <c r="G177">
        <v>2</v>
      </c>
      <c r="H177">
        <v>2</v>
      </c>
      <c r="I177">
        <v>0</v>
      </c>
      <c r="K177" s="1">
        <v>10</v>
      </c>
      <c r="L177" s="1">
        <v>0</v>
      </c>
      <c r="M177" s="1">
        <f t="shared" si="9"/>
        <v>10</v>
      </c>
      <c r="N177" s="11">
        <f t="shared" si="10"/>
        <v>20</v>
      </c>
    </row>
    <row r="178" spans="2:14" x14ac:dyDescent="0.2">
      <c r="B178" t="s">
        <v>121</v>
      </c>
      <c r="C178" t="s">
        <v>202</v>
      </c>
      <c r="D178" t="s">
        <v>34</v>
      </c>
      <c r="G178">
        <v>1</v>
      </c>
      <c r="H178">
        <v>1</v>
      </c>
      <c r="I178">
        <v>0</v>
      </c>
      <c r="K178" s="1">
        <v>10</v>
      </c>
      <c r="L178" s="1">
        <v>0</v>
      </c>
      <c r="M178" s="1">
        <f t="shared" si="9"/>
        <v>10</v>
      </c>
      <c r="N178" s="11">
        <f t="shared" si="10"/>
        <v>10</v>
      </c>
    </row>
    <row r="179" spans="2:14" x14ac:dyDescent="0.2">
      <c r="B179" t="s">
        <v>110</v>
      </c>
      <c r="C179" t="s">
        <v>202</v>
      </c>
      <c r="D179" t="s">
        <v>91</v>
      </c>
      <c r="G179">
        <v>1</v>
      </c>
      <c r="H179">
        <v>1</v>
      </c>
      <c r="I179">
        <v>0</v>
      </c>
      <c r="K179" s="1">
        <v>10</v>
      </c>
      <c r="L179" s="1">
        <v>0</v>
      </c>
      <c r="M179" s="1">
        <f t="shared" si="9"/>
        <v>10</v>
      </c>
      <c r="N179" s="11">
        <f t="shared" si="10"/>
        <v>10</v>
      </c>
    </row>
    <row r="180" spans="2:14" x14ac:dyDescent="0.2">
      <c r="B180" t="s">
        <v>120</v>
      </c>
      <c r="C180" t="s">
        <v>203</v>
      </c>
      <c r="D180" t="s">
        <v>27</v>
      </c>
      <c r="G180">
        <v>1</v>
      </c>
      <c r="H180">
        <v>0</v>
      </c>
      <c r="I180">
        <v>1</v>
      </c>
      <c r="K180" s="1">
        <v>10</v>
      </c>
      <c r="L180" s="1">
        <v>0</v>
      </c>
      <c r="M180" s="1">
        <f t="shared" si="9"/>
        <v>10</v>
      </c>
      <c r="N180" s="11">
        <f t="shared" si="10"/>
        <v>10</v>
      </c>
    </row>
    <row r="181" spans="2:14" x14ac:dyDescent="0.2">
      <c r="B181" t="s">
        <v>121</v>
      </c>
      <c r="C181" t="s">
        <v>204</v>
      </c>
      <c r="D181" t="s">
        <v>17</v>
      </c>
      <c r="G181">
        <v>2</v>
      </c>
      <c r="H181">
        <v>1</v>
      </c>
      <c r="I181">
        <v>1</v>
      </c>
      <c r="K181" s="1">
        <v>10</v>
      </c>
      <c r="L181" s="1">
        <v>0</v>
      </c>
      <c r="M181" s="1">
        <f t="shared" si="9"/>
        <v>10</v>
      </c>
      <c r="N181" s="11">
        <f t="shared" si="10"/>
        <v>20</v>
      </c>
    </row>
    <row r="182" spans="2:14" x14ac:dyDescent="0.2">
      <c r="B182" t="s">
        <v>120</v>
      </c>
      <c r="C182" t="s">
        <v>205</v>
      </c>
      <c r="D182" t="s">
        <v>27</v>
      </c>
      <c r="G182">
        <v>1</v>
      </c>
      <c r="H182">
        <v>0</v>
      </c>
      <c r="I182">
        <v>1</v>
      </c>
      <c r="K182" s="1">
        <v>10</v>
      </c>
      <c r="L182" s="1">
        <v>0</v>
      </c>
      <c r="M182" s="1">
        <f t="shared" si="9"/>
        <v>10</v>
      </c>
      <c r="N182" s="11">
        <f t="shared" si="10"/>
        <v>10</v>
      </c>
    </row>
    <row r="183" spans="2:14" x14ac:dyDescent="0.2">
      <c r="B183" t="s">
        <v>120</v>
      </c>
      <c r="C183" t="s">
        <v>206</v>
      </c>
      <c r="D183" t="s">
        <v>27</v>
      </c>
      <c r="G183">
        <v>1</v>
      </c>
      <c r="H183">
        <v>0</v>
      </c>
      <c r="I183">
        <v>1</v>
      </c>
      <c r="K183" s="1">
        <v>10</v>
      </c>
      <c r="L183" s="1">
        <v>0</v>
      </c>
      <c r="M183" s="1">
        <f t="shared" si="9"/>
        <v>10</v>
      </c>
      <c r="N183" s="11">
        <f t="shared" si="10"/>
        <v>10</v>
      </c>
    </row>
    <row r="184" spans="2:14" x14ac:dyDescent="0.2">
      <c r="B184" t="s">
        <v>120</v>
      </c>
      <c r="C184" t="s">
        <v>207</v>
      </c>
      <c r="D184" t="s">
        <v>27</v>
      </c>
      <c r="G184">
        <v>1</v>
      </c>
      <c r="H184">
        <v>0</v>
      </c>
      <c r="I184">
        <v>1</v>
      </c>
      <c r="K184" s="1">
        <v>10</v>
      </c>
      <c r="L184" s="1">
        <v>0</v>
      </c>
      <c r="M184" s="1">
        <f t="shared" si="9"/>
        <v>10</v>
      </c>
      <c r="N184" s="11">
        <f t="shared" si="10"/>
        <v>10</v>
      </c>
    </row>
    <row r="185" spans="2:14" x14ac:dyDescent="0.2">
      <c r="B185" t="s">
        <v>120</v>
      </c>
      <c r="C185" t="s">
        <v>208</v>
      </c>
      <c r="D185" t="s">
        <v>27</v>
      </c>
      <c r="G185">
        <v>1</v>
      </c>
      <c r="H185">
        <v>1</v>
      </c>
      <c r="I185">
        <v>0</v>
      </c>
      <c r="K185" s="1">
        <v>10</v>
      </c>
      <c r="L185" s="1">
        <v>0</v>
      </c>
      <c r="M185" s="1">
        <f t="shared" si="9"/>
        <v>10</v>
      </c>
      <c r="N185" s="11">
        <f t="shared" si="10"/>
        <v>10</v>
      </c>
    </row>
    <row r="186" spans="2:14" x14ac:dyDescent="0.2">
      <c r="B186" t="s">
        <v>121</v>
      </c>
      <c r="C186" t="s">
        <v>160</v>
      </c>
      <c r="D186" t="s">
        <v>17</v>
      </c>
      <c r="G186">
        <v>1</v>
      </c>
      <c r="H186">
        <v>0</v>
      </c>
      <c r="I186">
        <v>1</v>
      </c>
      <c r="K186" s="1">
        <v>10</v>
      </c>
      <c r="L186" s="1">
        <v>0</v>
      </c>
      <c r="M186" s="1">
        <f t="shared" si="9"/>
        <v>10</v>
      </c>
      <c r="N186" s="11">
        <f t="shared" si="10"/>
        <v>10</v>
      </c>
    </row>
    <row r="187" spans="2:14" x14ac:dyDescent="0.2">
      <c r="B187" t="s">
        <v>120</v>
      </c>
      <c r="C187" t="s">
        <v>209</v>
      </c>
      <c r="D187" t="s">
        <v>27</v>
      </c>
      <c r="G187">
        <v>1</v>
      </c>
      <c r="H187">
        <v>1</v>
      </c>
      <c r="I187">
        <v>0</v>
      </c>
      <c r="K187" s="1">
        <v>10</v>
      </c>
      <c r="L187" s="1">
        <v>0</v>
      </c>
      <c r="M187" s="1">
        <f t="shared" si="9"/>
        <v>10</v>
      </c>
      <c r="N187" s="11">
        <f t="shared" si="10"/>
        <v>10</v>
      </c>
    </row>
    <row r="188" spans="2:14" x14ac:dyDescent="0.2">
      <c r="B188" t="s">
        <v>120</v>
      </c>
      <c r="C188" t="s">
        <v>161</v>
      </c>
      <c r="D188" t="s">
        <v>27</v>
      </c>
      <c r="G188">
        <v>1</v>
      </c>
      <c r="H188">
        <v>0</v>
      </c>
      <c r="I188">
        <v>1</v>
      </c>
      <c r="K188" s="1">
        <v>10</v>
      </c>
      <c r="L188" s="1">
        <v>0</v>
      </c>
      <c r="M188" s="1">
        <f t="shared" si="9"/>
        <v>10</v>
      </c>
      <c r="N188" s="11">
        <f t="shared" si="10"/>
        <v>10</v>
      </c>
    </row>
    <row r="189" spans="2:14" x14ac:dyDescent="0.2">
      <c r="B189" t="s">
        <v>121</v>
      </c>
      <c r="C189" t="s">
        <v>203</v>
      </c>
      <c r="D189" t="s">
        <v>17</v>
      </c>
      <c r="G189">
        <v>1</v>
      </c>
      <c r="H189">
        <v>0</v>
      </c>
      <c r="I189">
        <v>1</v>
      </c>
      <c r="K189" s="1">
        <v>10</v>
      </c>
      <c r="L189" s="1">
        <v>0</v>
      </c>
      <c r="M189" s="1">
        <f t="shared" si="9"/>
        <v>10</v>
      </c>
      <c r="N189" s="11">
        <f t="shared" si="10"/>
        <v>10</v>
      </c>
    </row>
    <row r="190" spans="2:14" x14ac:dyDescent="0.2">
      <c r="B190" t="s">
        <v>121</v>
      </c>
      <c r="C190" t="s">
        <v>167</v>
      </c>
      <c r="D190" t="s">
        <v>34</v>
      </c>
      <c r="G190">
        <v>1</v>
      </c>
      <c r="H190">
        <v>1</v>
      </c>
      <c r="I190">
        <v>0</v>
      </c>
      <c r="K190" s="1">
        <v>10</v>
      </c>
      <c r="L190" s="1">
        <v>0</v>
      </c>
      <c r="M190" s="1">
        <f t="shared" si="9"/>
        <v>10</v>
      </c>
      <c r="N190" s="11">
        <f t="shared" si="10"/>
        <v>10</v>
      </c>
    </row>
    <row r="191" spans="2:14" x14ac:dyDescent="0.2">
      <c r="B191" t="s">
        <v>121</v>
      </c>
      <c r="C191" t="s">
        <v>167</v>
      </c>
      <c r="D191" t="s">
        <v>17</v>
      </c>
      <c r="G191">
        <v>2</v>
      </c>
      <c r="H191">
        <v>0</v>
      </c>
      <c r="I191">
        <v>2</v>
      </c>
      <c r="K191" s="1">
        <v>10</v>
      </c>
      <c r="L191" s="1">
        <v>0</v>
      </c>
      <c r="M191" s="1">
        <f t="shared" si="9"/>
        <v>10</v>
      </c>
      <c r="N191" s="11">
        <f t="shared" si="10"/>
        <v>20</v>
      </c>
    </row>
    <row r="192" spans="2:14" x14ac:dyDescent="0.2">
      <c r="B192" t="s">
        <v>121</v>
      </c>
      <c r="C192" t="s">
        <v>176</v>
      </c>
      <c r="D192" t="s">
        <v>17</v>
      </c>
      <c r="G192">
        <v>1</v>
      </c>
      <c r="H192">
        <v>1</v>
      </c>
      <c r="I192">
        <v>0</v>
      </c>
      <c r="K192" s="1">
        <v>10</v>
      </c>
      <c r="L192" s="1">
        <v>0</v>
      </c>
      <c r="M192" s="1">
        <f t="shared" si="9"/>
        <v>10</v>
      </c>
      <c r="N192" s="11">
        <f t="shared" si="10"/>
        <v>10</v>
      </c>
    </row>
    <row r="193" spans="2:14" x14ac:dyDescent="0.2">
      <c r="B193" t="s">
        <v>121</v>
      </c>
      <c r="C193" t="s">
        <v>210</v>
      </c>
      <c r="D193" t="s">
        <v>17</v>
      </c>
      <c r="G193">
        <v>1</v>
      </c>
      <c r="H193">
        <v>1</v>
      </c>
      <c r="I193">
        <v>0</v>
      </c>
      <c r="K193" s="1">
        <v>10</v>
      </c>
      <c r="L193" s="1">
        <v>0</v>
      </c>
      <c r="M193" s="1">
        <f t="shared" si="9"/>
        <v>10</v>
      </c>
      <c r="N193" s="11">
        <f t="shared" si="10"/>
        <v>10</v>
      </c>
    </row>
    <row r="194" spans="2:14" x14ac:dyDescent="0.2">
      <c r="B194" t="s">
        <v>121</v>
      </c>
      <c r="C194" t="s">
        <v>211</v>
      </c>
      <c r="D194" t="s">
        <v>17</v>
      </c>
      <c r="G194">
        <v>1</v>
      </c>
      <c r="H194">
        <v>0</v>
      </c>
      <c r="I194">
        <v>1</v>
      </c>
      <c r="K194" s="1">
        <v>10</v>
      </c>
      <c r="L194" s="1">
        <v>0</v>
      </c>
      <c r="M194" s="1">
        <f t="shared" ref="M194:M257" si="11">K194+L194</f>
        <v>10</v>
      </c>
      <c r="N194" s="11">
        <f t="shared" si="10"/>
        <v>10</v>
      </c>
    </row>
    <row r="195" spans="2:14" x14ac:dyDescent="0.2">
      <c r="B195" t="s">
        <v>121</v>
      </c>
      <c r="C195" t="s">
        <v>206</v>
      </c>
      <c r="D195" t="s">
        <v>17</v>
      </c>
      <c r="G195">
        <v>1</v>
      </c>
      <c r="H195">
        <v>0</v>
      </c>
      <c r="I195">
        <v>1</v>
      </c>
      <c r="K195" s="1">
        <v>10</v>
      </c>
      <c r="L195" s="1">
        <v>0</v>
      </c>
      <c r="M195" s="1">
        <f t="shared" si="11"/>
        <v>10</v>
      </c>
      <c r="N195" s="11">
        <f t="shared" ref="N195:N258" si="12">G195*K195</f>
        <v>10</v>
      </c>
    </row>
    <row r="196" spans="2:14" x14ac:dyDescent="0.2">
      <c r="B196" t="s">
        <v>120</v>
      </c>
      <c r="C196" t="s">
        <v>212</v>
      </c>
      <c r="D196" t="s">
        <v>27</v>
      </c>
      <c r="G196">
        <v>1</v>
      </c>
      <c r="H196">
        <v>0</v>
      </c>
      <c r="I196">
        <v>1</v>
      </c>
      <c r="K196" s="1">
        <v>10</v>
      </c>
      <c r="L196" s="1">
        <v>0</v>
      </c>
      <c r="M196" s="1">
        <f t="shared" si="11"/>
        <v>10</v>
      </c>
      <c r="N196" s="11">
        <f t="shared" si="12"/>
        <v>10</v>
      </c>
    </row>
    <row r="197" spans="2:14" x14ac:dyDescent="0.2">
      <c r="B197" t="s">
        <v>121</v>
      </c>
      <c r="C197" t="s">
        <v>213</v>
      </c>
      <c r="D197" t="s">
        <v>17</v>
      </c>
      <c r="G197">
        <v>1</v>
      </c>
      <c r="H197">
        <v>1</v>
      </c>
      <c r="I197">
        <v>0</v>
      </c>
      <c r="K197" s="1">
        <v>10</v>
      </c>
      <c r="L197" s="1">
        <v>0</v>
      </c>
      <c r="M197" s="1">
        <f t="shared" si="11"/>
        <v>10</v>
      </c>
      <c r="N197" s="11">
        <f t="shared" si="12"/>
        <v>10</v>
      </c>
    </row>
    <row r="198" spans="2:14" x14ac:dyDescent="0.2">
      <c r="B198" t="s">
        <v>120</v>
      </c>
      <c r="C198" t="s">
        <v>123</v>
      </c>
      <c r="D198" t="s">
        <v>27</v>
      </c>
      <c r="G198">
        <v>1</v>
      </c>
      <c r="H198">
        <v>0</v>
      </c>
      <c r="I198">
        <v>1</v>
      </c>
      <c r="K198" s="1">
        <v>10</v>
      </c>
      <c r="L198" s="1">
        <v>0</v>
      </c>
      <c r="M198" s="1">
        <f t="shared" si="11"/>
        <v>10</v>
      </c>
      <c r="N198" s="11">
        <f t="shared" si="12"/>
        <v>10</v>
      </c>
    </row>
    <row r="199" spans="2:14" x14ac:dyDescent="0.2">
      <c r="B199" t="s">
        <v>90</v>
      </c>
      <c r="C199" t="s">
        <v>214</v>
      </c>
      <c r="D199" t="s">
        <v>91</v>
      </c>
      <c r="G199">
        <v>2</v>
      </c>
      <c r="H199">
        <v>1</v>
      </c>
      <c r="I199">
        <v>1</v>
      </c>
      <c r="K199" s="1">
        <v>8</v>
      </c>
      <c r="L199" s="1">
        <v>0</v>
      </c>
      <c r="M199" s="1">
        <f t="shared" si="11"/>
        <v>8</v>
      </c>
      <c r="N199" s="11">
        <f t="shared" si="12"/>
        <v>16</v>
      </c>
    </row>
    <row r="200" spans="2:14" x14ac:dyDescent="0.2">
      <c r="B200" t="s">
        <v>215</v>
      </c>
      <c r="C200" t="s">
        <v>216</v>
      </c>
      <c r="D200" t="s">
        <v>97</v>
      </c>
      <c r="G200">
        <v>4</v>
      </c>
      <c r="H200">
        <v>1</v>
      </c>
      <c r="I200">
        <v>3</v>
      </c>
      <c r="K200" s="1">
        <v>8</v>
      </c>
      <c r="L200" s="1">
        <v>0</v>
      </c>
      <c r="M200" s="1">
        <f t="shared" si="11"/>
        <v>8</v>
      </c>
      <c r="N200" s="11">
        <f t="shared" si="12"/>
        <v>32</v>
      </c>
    </row>
    <row r="201" spans="2:14" x14ac:dyDescent="0.2">
      <c r="B201" t="s">
        <v>215</v>
      </c>
      <c r="C201" t="s">
        <v>217</v>
      </c>
      <c r="D201" t="s">
        <v>97</v>
      </c>
      <c r="G201">
        <v>1</v>
      </c>
      <c r="H201">
        <v>0</v>
      </c>
      <c r="I201">
        <v>1</v>
      </c>
      <c r="K201" s="1">
        <v>8</v>
      </c>
      <c r="L201" s="1">
        <v>0</v>
      </c>
      <c r="M201" s="1">
        <f t="shared" si="11"/>
        <v>8</v>
      </c>
      <c r="N201" s="11">
        <f t="shared" si="12"/>
        <v>8</v>
      </c>
    </row>
    <row r="202" spans="2:14" x14ac:dyDescent="0.2">
      <c r="B202" t="s">
        <v>90</v>
      </c>
      <c r="C202" t="s">
        <v>218</v>
      </c>
      <c r="D202" t="s">
        <v>91</v>
      </c>
      <c r="G202">
        <v>2</v>
      </c>
      <c r="H202">
        <v>0</v>
      </c>
      <c r="I202">
        <v>2</v>
      </c>
      <c r="K202" s="1">
        <v>8</v>
      </c>
      <c r="L202" s="1">
        <v>0</v>
      </c>
      <c r="M202" s="1">
        <f t="shared" si="11"/>
        <v>8</v>
      </c>
      <c r="N202" s="11">
        <f t="shared" si="12"/>
        <v>16</v>
      </c>
    </row>
    <row r="203" spans="2:14" x14ac:dyDescent="0.2">
      <c r="B203" t="s">
        <v>215</v>
      </c>
      <c r="C203" t="s">
        <v>219</v>
      </c>
      <c r="D203" t="s">
        <v>97</v>
      </c>
      <c r="G203">
        <v>2</v>
      </c>
      <c r="H203">
        <v>0</v>
      </c>
      <c r="I203">
        <v>2</v>
      </c>
      <c r="K203" s="1">
        <v>8</v>
      </c>
      <c r="L203" s="1">
        <v>0</v>
      </c>
      <c r="M203" s="1">
        <f t="shared" si="11"/>
        <v>8</v>
      </c>
      <c r="N203" s="11">
        <f t="shared" si="12"/>
        <v>16</v>
      </c>
    </row>
    <row r="204" spans="2:14" x14ac:dyDescent="0.2">
      <c r="B204" t="s">
        <v>215</v>
      </c>
      <c r="C204" t="s">
        <v>220</v>
      </c>
      <c r="D204" t="s">
        <v>97</v>
      </c>
      <c r="G204">
        <v>2</v>
      </c>
      <c r="H204">
        <v>0</v>
      </c>
      <c r="I204">
        <v>2</v>
      </c>
      <c r="K204" s="1">
        <v>8</v>
      </c>
      <c r="L204" s="1">
        <v>0</v>
      </c>
      <c r="M204" s="1">
        <f t="shared" si="11"/>
        <v>8</v>
      </c>
      <c r="N204" s="11">
        <f t="shared" si="12"/>
        <v>16</v>
      </c>
    </row>
    <row r="205" spans="2:14" x14ac:dyDescent="0.2">
      <c r="B205" t="s">
        <v>90</v>
      </c>
      <c r="C205" t="s">
        <v>221</v>
      </c>
      <c r="D205" t="s">
        <v>91</v>
      </c>
      <c r="G205">
        <v>1</v>
      </c>
      <c r="H205">
        <v>0</v>
      </c>
      <c r="I205">
        <v>1</v>
      </c>
      <c r="K205" s="1">
        <v>8</v>
      </c>
      <c r="L205" s="1">
        <v>0</v>
      </c>
      <c r="M205" s="1">
        <f t="shared" si="11"/>
        <v>8</v>
      </c>
      <c r="N205" s="11">
        <f t="shared" si="12"/>
        <v>8</v>
      </c>
    </row>
    <row r="206" spans="2:14" x14ac:dyDescent="0.2">
      <c r="B206" t="s">
        <v>215</v>
      </c>
      <c r="C206" t="s">
        <v>222</v>
      </c>
      <c r="D206" t="s">
        <v>97</v>
      </c>
      <c r="G206">
        <v>1</v>
      </c>
      <c r="H206">
        <v>0</v>
      </c>
      <c r="I206">
        <v>1</v>
      </c>
      <c r="K206" s="1">
        <v>8</v>
      </c>
      <c r="L206" s="1">
        <v>0</v>
      </c>
      <c r="M206" s="1">
        <f t="shared" si="11"/>
        <v>8</v>
      </c>
      <c r="N206" s="11">
        <f t="shared" si="12"/>
        <v>8</v>
      </c>
    </row>
    <row r="207" spans="2:14" x14ac:dyDescent="0.2">
      <c r="B207" t="s">
        <v>215</v>
      </c>
      <c r="C207" t="s">
        <v>223</v>
      </c>
      <c r="D207" t="s">
        <v>97</v>
      </c>
      <c r="G207">
        <v>1</v>
      </c>
      <c r="H207">
        <v>0</v>
      </c>
      <c r="I207">
        <v>1</v>
      </c>
      <c r="K207" s="1">
        <v>8</v>
      </c>
      <c r="L207" s="1">
        <v>0</v>
      </c>
      <c r="M207" s="1">
        <f t="shared" si="11"/>
        <v>8</v>
      </c>
      <c r="N207" s="11">
        <f t="shared" si="12"/>
        <v>8</v>
      </c>
    </row>
    <row r="208" spans="2:14" x14ac:dyDescent="0.2">
      <c r="B208" t="s">
        <v>90</v>
      </c>
      <c r="C208" t="s">
        <v>224</v>
      </c>
      <c r="D208" t="s">
        <v>91</v>
      </c>
      <c r="G208">
        <v>1</v>
      </c>
      <c r="H208">
        <v>0</v>
      </c>
      <c r="I208">
        <v>1</v>
      </c>
      <c r="K208" s="1">
        <v>8</v>
      </c>
      <c r="L208" s="1">
        <v>0</v>
      </c>
      <c r="M208" s="1">
        <f t="shared" si="11"/>
        <v>8</v>
      </c>
      <c r="N208" s="11">
        <f t="shared" si="12"/>
        <v>8</v>
      </c>
    </row>
    <row r="209" spans="2:14" x14ac:dyDescent="0.2">
      <c r="B209" t="s">
        <v>90</v>
      </c>
      <c r="C209" t="s">
        <v>225</v>
      </c>
      <c r="D209" t="s">
        <v>91</v>
      </c>
      <c r="G209">
        <v>1</v>
      </c>
      <c r="H209">
        <v>0</v>
      </c>
      <c r="I209">
        <v>1</v>
      </c>
      <c r="K209" s="1">
        <v>8</v>
      </c>
      <c r="L209" s="1">
        <v>0</v>
      </c>
      <c r="M209" s="1">
        <f t="shared" si="11"/>
        <v>8</v>
      </c>
      <c r="N209" s="11">
        <f t="shared" si="12"/>
        <v>8</v>
      </c>
    </row>
    <row r="210" spans="2:14" x14ac:dyDescent="0.2">
      <c r="B210" t="s">
        <v>90</v>
      </c>
      <c r="C210" t="s">
        <v>226</v>
      </c>
      <c r="D210" t="s">
        <v>91</v>
      </c>
      <c r="G210">
        <v>1</v>
      </c>
      <c r="H210">
        <v>0</v>
      </c>
      <c r="I210">
        <v>1</v>
      </c>
      <c r="K210" s="1">
        <v>8</v>
      </c>
      <c r="L210" s="1">
        <v>0</v>
      </c>
      <c r="M210" s="1">
        <f t="shared" si="11"/>
        <v>8</v>
      </c>
      <c r="N210" s="11">
        <f t="shared" si="12"/>
        <v>8</v>
      </c>
    </row>
    <row r="211" spans="2:14" x14ac:dyDescent="0.2">
      <c r="B211" t="s">
        <v>215</v>
      </c>
      <c r="C211" t="s">
        <v>226</v>
      </c>
      <c r="D211" t="s">
        <v>97</v>
      </c>
      <c r="G211">
        <v>1</v>
      </c>
      <c r="H211">
        <v>0</v>
      </c>
      <c r="I211">
        <v>1</v>
      </c>
      <c r="K211" s="1">
        <v>8</v>
      </c>
      <c r="L211" s="1">
        <v>0</v>
      </c>
      <c r="M211" s="1">
        <f t="shared" si="11"/>
        <v>8</v>
      </c>
      <c r="N211" s="11">
        <f t="shared" si="12"/>
        <v>8</v>
      </c>
    </row>
    <row r="212" spans="2:14" x14ac:dyDescent="0.2">
      <c r="B212" t="s">
        <v>90</v>
      </c>
      <c r="C212" t="s">
        <v>227</v>
      </c>
      <c r="D212" t="s">
        <v>95</v>
      </c>
      <c r="G212">
        <v>1</v>
      </c>
      <c r="H212">
        <v>1</v>
      </c>
      <c r="I212">
        <v>0</v>
      </c>
      <c r="K212" s="1">
        <v>8</v>
      </c>
      <c r="L212" s="1">
        <v>0</v>
      </c>
      <c r="M212" s="1">
        <f t="shared" si="11"/>
        <v>8</v>
      </c>
      <c r="N212" s="11">
        <f t="shared" si="12"/>
        <v>8</v>
      </c>
    </row>
    <row r="213" spans="2:14" x14ac:dyDescent="0.2">
      <c r="B213" t="s">
        <v>215</v>
      </c>
      <c r="C213" t="s">
        <v>228</v>
      </c>
      <c r="D213" t="s">
        <v>97</v>
      </c>
      <c r="G213">
        <v>1</v>
      </c>
      <c r="H213">
        <v>0</v>
      </c>
      <c r="I213">
        <v>1</v>
      </c>
      <c r="K213" s="1">
        <v>8</v>
      </c>
      <c r="L213" s="1">
        <v>0</v>
      </c>
      <c r="M213" s="1">
        <f t="shared" si="11"/>
        <v>8</v>
      </c>
      <c r="N213" s="11">
        <f t="shared" si="12"/>
        <v>8</v>
      </c>
    </row>
    <row r="214" spans="2:14" x14ac:dyDescent="0.2">
      <c r="B214" t="s">
        <v>90</v>
      </c>
      <c r="C214" t="s">
        <v>229</v>
      </c>
      <c r="D214" t="s">
        <v>91</v>
      </c>
      <c r="G214">
        <v>1</v>
      </c>
      <c r="H214">
        <v>0</v>
      </c>
      <c r="I214">
        <v>1</v>
      </c>
      <c r="K214" s="1">
        <v>8</v>
      </c>
      <c r="L214" s="1">
        <v>0</v>
      </c>
      <c r="M214" s="1">
        <f t="shared" si="11"/>
        <v>8</v>
      </c>
      <c r="N214" s="11">
        <f t="shared" si="12"/>
        <v>8</v>
      </c>
    </row>
    <row r="215" spans="2:14" x14ac:dyDescent="0.2">
      <c r="B215" t="s">
        <v>215</v>
      </c>
      <c r="C215" t="s">
        <v>230</v>
      </c>
      <c r="D215" t="s">
        <v>97</v>
      </c>
      <c r="G215">
        <v>1</v>
      </c>
      <c r="H215">
        <v>0</v>
      </c>
      <c r="I215">
        <v>1</v>
      </c>
      <c r="K215" s="1">
        <v>8</v>
      </c>
      <c r="L215" s="1">
        <v>0</v>
      </c>
      <c r="M215" s="1">
        <f t="shared" si="11"/>
        <v>8</v>
      </c>
      <c r="N215" s="11">
        <f t="shared" si="12"/>
        <v>8</v>
      </c>
    </row>
    <row r="216" spans="2:14" x14ac:dyDescent="0.2">
      <c r="B216" t="s">
        <v>215</v>
      </c>
      <c r="C216" t="s">
        <v>231</v>
      </c>
      <c r="D216" t="s">
        <v>97</v>
      </c>
      <c r="G216">
        <v>8</v>
      </c>
      <c r="H216">
        <v>0</v>
      </c>
      <c r="I216">
        <v>8</v>
      </c>
      <c r="K216" s="1">
        <v>8</v>
      </c>
      <c r="L216" s="1">
        <v>0</v>
      </c>
      <c r="M216" s="1">
        <f t="shared" si="11"/>
        <v>8</v>
      </c>
      <c r="N216" s="11">
        <f t="shared" si="12"/>
        <v>64</v>
      </c>
    </row>
    <row r="217" spans="2:14" x14ac:dyDescent="0.2">
      <c r="B217" t="s">
        <v>90</v>
      </c>
      <c r="C217" t="s">
        <v>232</v>
      </c>
      <c r="D217" t="s">
        <v>91</v>
      </c>
      <c r="G217">
        <v>1</v>
      </c>
      <c r="H217">
        <v>0</v>
      </c>
      <c r="I217">
        <v>1</v>
      </c>
      <c r="K217" s="1">
        <v>8</v>
      </c>
      <c r="L217" s="1">
        <v>0</v>
      </c>
      <c r="M217" s="1">
        <f t="shared" si="11"/>
        <v>8</v>
      </c>
      <c r="N217" s="11">
        <f t="shared" si="12"/>
        <v>8</v>
      </c>
    </row>
    <row r="218" spans="2:14" x14ac:dyDescent="0.2">
      <c r="B218" t="s">
        <v>90</v>
      </c>
      <c r="C218" t="s">
        <v>233</v>
      </c>
      <c r="D218" t="s">
        <v>91</v>
      </c>
      <c r="G218">
        <v>1</v>
      </c>
      <c r="H218">
        <v>0</v>
      </c>
      <c r="I218">
        <v>1</v>
      </c>
      <c r="K218" s="1">
        <v>8</v>
      </c>
      <c r="L218" s="1">
        <v>0</v>
      </c>
      <c r="M218" s="1">
        <f t="shared" si="11"/>
        <v>8</v>
      </c>
      <c r="N218" s="11">
        <f t="shared" si="12"/>
        <v>8</v>
      </c>
    </row>
    <row r="219" spans="2:14" x14ac:dyDescent="0.2">
      <c r="B219" t="s">
        <v>215</v>
      </c>
      <c r="C219" t="s">
        <v>233</v>
      </c>
      <c r="D219" t="s">
        <v>97</v>
      </c>
      <c r="G219">
        <v>1</v>
      </c>
      <c r="H219">
        <v>1</v>
      </c>
      <c r="I219">
        <v>0</v>
      </c>
      <c r="K219" s="1">
        <v>8</v>
      </c>
      <c r="L219" s="1">
        <v>0</v>
      </c>
      <c r="M219" s="1">
        <f t="shared" si="11"/>
        <v>8</v>
      </c>
      <c r="N219" s="11">
        <f t="shared" si="12"/>
        <v>8</v>
      </c>
    </row>
    <row r="220" spans="2:14" x14ac:dyDescent="0.2">
      <c r="B220" t="s">
        <v>90</v>
      </c>
      <c r="C220" t="s">
        <v>223</v>
      </c>
      <c r="D220" t="s">
        <v>91</v>
      </c>
      <c r="G220">
        <v>1</v>
      </c>
      <c r="H220">
        <v>0</v>
      </c>
      <c r="I220">
        <v>1</v>
      </c>
      <c r="K220" s="1">
        <v>8</v>
      </c>
      <c r="L220" s="1">
        <v>0</v>
      </c>
      <c r="M220" s="1">
        <f t="shared" si="11"/>
        <v>8</v>
      </c>
      <c r="N220" s="11">
        <f t="shared" si="12"/>
        <v>8</v>
      </c>
    </row>
    <row r="221" spans="2:14" x14ac:dyDescent="0.2">
      <c r="B221" t="s">
        <v>90</v>
      </c>
      <c r="C221" t="s">
        <v>234</v>
      </c>
      <c r="D221" t="s">
        <v>91</v>
      </c>
      <c r="G221">
        <v>2</v>
      </c>
      <c r="H221">
        <v>0</v>
      </c>
      <c r="I221">
        <v>2</v>
      </c>
      <c r="K221" s="1">
        <v>8</v>
      </c>
      <c r="L221" s="1">
        <v>0</v>
      </c>
      <c r="M221" s="1">
        <f t="shared" si="11"/>
        <v>8</v>
      </c>
      <c r="N221" s="11">
        <f t="shared" si="12"/>
        <v>16</v>
      </c>
    </row>
    <row r="222" spans="2:14" x14ac:dyDescent="0.2">
      <c r="B222" t="s">
        <v>90</v>
      </c>
      <c r="C222" t="s">
        <v>235</v>
      </c>
      <c r="D222" t="s">
        <v>102</v>
      </c>
      <c r="G222">
        <v>2</v>
      </c>
      <c r="H222">
        <v>0</v>
      </c>
      <c r="I222">
        <v>2</v>
      </c>
      <c r="K222" s="1">
        <v>8</v>
      </c>
      <c r="L222" s="1">
        <v>0</v>
      </c>
      <c r="M222" s="1">
        <f t="shared" si="11"/>
        <v>8</v>
      </c>
      <c r="N222" s="11">
        <f t="shared" si="12"/>
        <v>16</v>
      </c>
    </row>
    <row r="223" spans="2:14" x14ac:dyDescent="0.2">
      <c r="B223" t="s">
        <v>90</v>
      </c>
      <c r="C223" t="s">
        <v>235</v>
      </c>
      <c r="D223" t="s">
        <v>236</v>
      </c>
      <c r="G223">
        <v>2</v>
      </c>
      <c r="H223">
        <v>0</v>
      </c>
      <c r="I223">
        <v>2</v>
      </c>
      <c r="K223" s="1">
        <v>8</v>
      </c>
      <c r="L223" s="1">
        <v>0</v>
      </c>
      <c r="M223" s="1">
        <f t="shared" si="11"/>
        <v>8</v>
      </c>
      <c r="N223" s="11">
        <f t="shared" si="12"/>
        <v>16</v>
      </c>
    </row>
    <row r="224" spans="2:14" x14ac:dyDescent="0.2">
      <c r="B224" t="s">
        <v>90</v>
      </c>
      <c r="C224" t="s">
        <v>235</v>
      </c>
      <c r="D224" t="s">
        <v>237</v>
      </c>
      <c r="G224">
        <v>1</v>
      </c>
      <c r="H224">
        <v>0</v>
      </c>
      <c r="I224">
        <v>1</v>
      </c>
      <c r="K224" s="1">
        <v>8</v>
      </c>
      <c r="L224" s="1">
        <v>0</v>
      </c>
      <c r="M224" s="1">
        <f t="shared" si="11"/>
        <v>8</v>
      </c>
      <c r="N224" s="11">
        <f t="shared" si="12"/>
        <v>8</v>
      </c>
    </row>
    <row r="225" spans="2:14" x14ac:dyDescent="0.2">
      <c r="B225" t="s">
        <v>90</v>
      </c>
      <c r="C225" t="s">
        <v>238</v>
      </c>
      <c r="D225" t="s">
        <v>239</v>
      </c>
      <c r="G225">
        <v>1</v>
      </c>
      <c r="H225">
        <v>1</v>
      </c>
      <c r="I225">
        <v>0</v>
      </c>
      <c r="K225" s="1">
        <v>8</v>
      </c>
      <c r="L225" s="1">
        <v>0</v>
      </c>
      <c r="M225" s="1">
        <f t="shared" si="11"/>
        <v>8</v>
      </c>
      <c r="N225" s="11">
        <f t="shared" si="12"/>
        <v>8</v>
      </c>
    </row>
    <row r="226" spans="2:14" x14ac:dyDescent="0.2">
      <c r="B226" t="s">
        <v>215</v>
      </c>
      <c r="C226" t="s">
        <v>240</v>
      </c>
      <c r="D226" t="s">
        <v>97</v>
      </c>
      <c r="G226">
        <v>1</v>
      </c>
      <c r="H226">
        <v>1</v>
      </c>
      <c r="I226">
        <v>0</v>
      </c>
      <c r="K226" s="1">
        <v>8</v>
      </c>
      <c r="L226" s="1">
        <v>0</v>
      </c>
      <c r="M226" s="1">
        <f t="shared" si="11"/>
        <v>8</v>
      </c>
      <c r="N226" s="11">
        <f t="shared" si="12"/>
        <v>8</v>
      </c>
    </row>
    <row r="227" spans="2:14" x14ac:dyDescent="0.2">
      <c r="B227" t="s">
        <v>215</v>
      </c>
      <c r="C227" t="s">
        <v>218</v>
      </c>
      <c r="D227" t="s">
        <v>97</v>
      </c>
      <c r="G227">
        <v>2</v>
      </c>
      <c r="H227">
        <v>1</v>
      </c>
      <c r="I227">
        <v>1</v>
      </c>
      <c r="K227" s="1">
        <v>8</v>
      </c>
      <c r="L227" s="1">
        <v>0</v>
      </c>
      <c r="M227" s="1">
        <f t="shared" si="11"/>
        <v>8</v>
      </c>
      <c r="N227" s="11">
        <f t="shared" si="12"/>
        <v>16</v>
      </c>
    </row>
    <row r="228" spans="2:14" x14ac:dyDescent="0.2">
      <c r="B228" t="s">
        <v>215</v>
      </c>
      <c r="C228" t="s">
        <v>214</v>
      </c>
      <c r="D228" t="s">
        <v>97</v>
      </c>
      <c r="G228">
        <v>4</v>
      </c>
      <c r="H228">
        <v>1</v>
      </c>
      <c r="I228">
        <v>3</v>
      </c>
      <c r="K228" s="1">
        <v>8</v>
      </c>
      <c r="L228" s="1">
        <v>0</v>
      </c>
      <c r="M228" s="1">
        <f t="shared" si="11"/>
        <v>8</v>
      </c>
      <c r="N228" s="11">
        <f t="shared" si="12"/>
        <v>32</v>
      </c>
    </row>
    <row r="229" spans="2:14" x14ac:dyDescent="0.2">
      <c r="B229" t="s">
        <v>215</v>
      </c>
      <c r="C229" t="s">
        <v>241</v>
      </c>
      <c r="D229" t="s">
        <v>97</v>
      </c>
      <c r="G229">
        <v>2</v>
      </c>
      <c r="H229">
        <v>1</v>
      </c>
      <c r="I229">
        <v>1</v>
      </c>
      <c r="K229" s="1">
        <v>8</v>
      </c>
      <c r="L229" s="1">
        <v>0</v>
      </c>
      <c r="M229" s="1">
        <f t="shared" si="11"/>
        <v>8</v>
      </c>
      <c r="N229" s="11">
        <f t="shared" si="12"/>
        <v>16</v>
      </c>
    </row>
    <row r="230" spans="2:14" x14ac:dyDescent="0.2">
      <c r="B230" t="s">
        <v>215</v>
      </c>
      <c r="C230" t="s">
        <v>242</v>
      </c>
      <c r="D230" t="s">
        <v>97</v>
      </c>
      <c r="G230">
        <v>2</v>
      </c>
      <c r="H230">
        <v>0</v>
      </c>
      <c r="I230">
        <v>2</v>
      </c>
      <c r="K230" s="1">
        <v>8</v>
      </c>
      <c r="L230" s="1">
        <v>0</v>
      </c>
      <c r="M230" s="1">
        <f t="shared" si="11"/>
        <v>8</v>
      </c>
      <c r="N230" s="11">
        <f t="shared" si="12"/>
        <v>16</v>
      </c>
    </row>
    <row r="231" spans="2:14" x14ac:dyDescent="0.2">
      <c r="B231" t="s">
        <v>215</v>
      </c>
      <c r="C231" t="s">
        <v>243</v>
      </c>
      <c r="D231" t="s">
        <v>97</v>
      </c>
      <c r="G231">
        <v>1</v>
      </c>
      <c r="H231">
        <v>0</v>
      </c>
      <c r="I231">
        <v>1</v>
      </c>
      <c r="K231" s="1">
        <v>8</v>
      </c>
      <c r="L231" s="1">
        <v>0</v>
      </c>
      <c r="M231" s="1">
        <f t="shared" si="11"/>
        <v>8</v>
      </c>
      <c r="N231" s="11">
        <f t="shared" si="12"/>
        <v>8</v>
      </c>
    </row>
    <row r="232" spans="2:14" x14ac:dyDescent="0.2">
      <c r="B232" t="s">
        <v>90</v>
      </c>
      <c r="C232" t="s">
        <v>244</v>
      </c>
      <c r="D232" t="s">
        <v>91</v>
      </c>
      <c r="G232">
        <v>1</v>
      </c>
      <c r="H232">
        <v>0</v>
      </c>
      <c r="I232">
        <v>1</v>
      </c>
      <c r="K232" s="1">
        <v>8</v>
      </c>
      <c r="L232" s="1">
        <v>0</v>
      </c>
      <c r="M232" s="1">
        <f t="shared" si="11"/>
        <v>8</v>
      </c>
      <c r="N232" s="11">
        <f t="shared" si="12"/>
        <v>8</v>
      </c>
    </row>
    <row r="233" spans="2:14" x14ac:dyDescent="0.2">
      <c r="B233" t="s">
        <v>215</v>
      </c>
      <c r="C233" t="s">
        <v>244</v>
      </c>
      <c r="D233" t="s">
        <v>97</v>
      </c>
      <c r="G233">
        <v>1</v>
      </c>
      <c r="H233">
        <v>0</v>
      </c>
      <c r="I233">
        <v>1</v>
      </c>
      <c r="K233" s="1">
        <v>8</v>
      </c>
      <c r="L233" s="1">
        <v>0</v>
      </c>
      <c r="M233" s="1">
        <f t="shared" si="11"/>
        <v>8</v>
      </c>
      <c r="N233" s="11">
        <f t="shared" si="12"/>
        <v>8</v>
      </c>
    </row>
    <row r="234" spans="2:14" x14ac:dyDescent="0.2">
      <c r="B234" t="s">
        <v>90</v>
      </c>
      <c r="C234" t="s">
        <v>245</v>
      </c>
      <c r="D234" t="s">
        <v>91</v>
      </c>
      <c r="G234">
        <v>2</v>
      </c>
      <c r="H234">
        <v>0</v>
      </c>
      <c r="I234">
        <v>2</v>
      </c>
      <c r="K234" s="1">
        <v>8</v>
      </c>
      <c r="L234" s="1">
        <v>0</v>
      </c>
      <c r="M234" s="1">
        <f t="shared" si="11"/>
        <v>8</v>
      </c>
      <c r="N234" s="11">
        <f t="shared" si="12"/>
        <v>16</v>
      </c>
    </row>
    <row r="235" spans="2:14" x14ac:dyDescent="0.2">
      <c r="B235" t="s">
        <v>90</v>
      </c>
      <c r="C235" t="s">
        <v>246</v>
      </c>
      <c r="D235" t="s">
        <v>102</v>
      </c>
      <c r="G235">
        <v>1</v>
      </c>
      <c r="H235">
        <v>1</v>
      </c>
      <c r="I235">
        <v>0</v>
      </c>
      <c r="K235" s="1">
        <v>8</v>
      </c>
      <c r="L235" s="1">
        <v>0</v>
      </c>
      <c r="M235" s="1">
        <f t="shared" si="11"/>
        <v>8</v>
      </c>
      <c r="N235" s="11">
        <f t="shared" si="12"/>
        <v>8</v>
      </c>
    </row>
    <row r="236" spans="2:14" x14ac:dyDescent="0.2">
      <c r="B236" t="s">
        <v>90</v>
      </c>
      <c r="C236" t="s">
        <v>245</v>
      </c>
      <c r="D236" t="s">
        <v>95</v>
      </c>
      <c r="G236">
        <v>2</v>
      </c>
      <c r="H236">
        <v>1</v>
      </c>
      <c r="I236">
        <v>1</v>
      </c>
      <c r="K236" s="1">
        <v>8</v>
      </c>
      <c r="L236" s="1">
        <v>0</v>
      </c>
      <c r="M236" s="1">
        <f t="shared" si="11"/>
        <v>8</v>
      </c>
      <c r="N236" s="11">
        <f t="shared" si="12"/>
        <v>16</v>
      </c>
    </row>
    <row r="237" spans="2:14" x14ac:dyDescent="0.2">
      <c r="B237" t="s">
        <v>90</v>
      </c>
      <c r="C237" t="s">
        <v>241</v>
      </c>
      <c r="D237" t="s">
        <v>95</v>
      </c>
      <c r="G237">
        <v>1</v>
      </c>
      <c r="H237">
        <v>1</v>
      </c>
      <c r="I237">
        <v>0</v>
      </c>
      <c r="K237" s="1">
        <v>8</v>
      </c>
      <c r="L237" s="1">
        <v>0</v>
      </c>
      <c r="M237" s="1">
        <f t="shared" si="11"/>
        <v>8</v>
      </c>
      <c r="N237" s="11">
        <f t="shared" si="12"/>
        <v>8</v>
      </c>
    </row>
    <row r="238" spans="2:14" x14ac:dyDescent="0.2">
      <c r="B238" t="s">
        <v>90</v>
      </c>
      <c r="C238" t="s">
        <v>247</v>
      </c>
      <c r="D238" t="s">
        <v>91</v>
      </c>
      <c r="G238">
        <v>1</v>
      </c>
      <c r="H238">
        <v>0</v>
      </c>
      <c r="I238">
        <v>1</v>
      </c>
      <c r="K238" s="1">
        <v>8</v>
      </c>
      <c r="L238" s="1">
        <v>0</v>
      </c>
      <c r="M238" s="1">
        <f t="shared" si="11"/>
        <v>8</v>
      </c>
      <c r="N238" s="11">
        <f t="shared" si="12"/>
        <v>8</v>
      </c>
    </row>
    <row r="239" spans="2:14" x14ac:dyDescent="0.2">
      <c r="B239" t="s">
        <v>215</v>
      </c>
      <c r="C239" t="s">
        <v>248</v>
      </c>
      <c r="D239" t="s">
        <v>97</v>
      </c>
      <c r="G239">
        <v>1</v>
      </c>
      <c r="H239">
        <v>0</v>
      </c>
      <c r="I239">
        <v>1</v>
      </c>
      <c r="K239" s="1">
        <v>8</v>
      </c>
      <c r="L239" s="1">
        <v>0</v>
      </c>
      <c r="M239" s="1">
        <f t="shared" si="11"/>
        <v>8</v>
      </c>
      <c r="N239" s="11">
        <f t="shared" si="12"/>
        <v>8</v>
      </c>
    </row>
    <row r="240" spans="2:14" x14ac:dyDescent="0.2">
      <c r="B240" t="s">
        <v>215</v>
      </c>
      <c r="C240" t="s">
        <v>249</v>
      </c>
      <c r="D240" t="s">
        <v>97</v>
      </c>
      <c r="G240">
        <v>1</v>
      </c>
      <c r="H240">
        <v>1</v>
      </c>
      <c r="I240">
        <v>0</v>
      </c>
      <c r="K240" s="1">
        <v>8</v>
      </c>
      <c r="L240" s="1">
        <v>0</v>
      </c>
      <c r="M240" s="1">
        <f t="shared" si="11"/>
        <v>8</v>
      </c>
      <c r="N240" s="11">
        <f t="shared" si="12"/>
        <v>8</v>
      </c>
    </row>
    <row r="241" spans="2:14" x14ac:dyDescent="0.2">
      <c r="B241" t="s">
        <v>32</v>
      </c>
      <c r="C241" t="s">
        <v>250</v>
      </c>
      <c r="D241" t="s">
        <v>34</v>
      </c>
      <c r="G241">
        <v>1</v>
      </c>
      <c r="H241">
        <v>0</v>
      </c>
      <c r="I241">
        <v>1</v>
      </c>
      <c r="K241" s="1">
        <v>8</v>
      </c>
      <c r="L241" s="1">
        <v>0</v>
      </c>
      <c r="M241" s="1">
        <f t="shared" si="11"/>
        <v>8</v>
      </c>
      <c r="N241" s="11">
        <f t="shared" si="12"/>
        <v>8</v>
      </c>
    </row>
    <row r="242" spans="2:14" x14ac:dyDescent="0.2">
      <c r="B242" t="s">
        <v>32</v>
      </c>
      <c r="C242" t="s">
        <v>242</v>
      </c>
      <c r="D242" t="s">
        <v>34</v>
      </c>
      <c r="G242">
        <v>1</v>
      </c>
      <c r="H242">
        <v>0</v>
      </c>
      <c r="I242">
        <v>1</v>
      </c>
      <c r="K242" s="1">
        <v>8</v>
      </c>
      <c r="L242" s="1">
        <v>0</v>
      </c>
      <c r="M242" s="1">
        <f t="shared" si="11"/>
        <v>8</v>
      </c>
      <c r="N242" s="11">
        <f t="shared" si="12"/>
        <v>8</v>
      </c>
    </row>
    <row r="243" spans="2:14" x14ac:dyDescent="0.2">
      <c r="B243" t="s">
        <v>32</v>
      </c>
      <c r="C243" t="s">
        <v>245</v>
      </c>
      <c r="D243" t="s">
        <v>34</v>
      </c>
      <c r="G243">
        <v>2</v>
      </c>
      <c r="H243">
        <v>0</v>
      </c>
      <c r="I243">
        <v>2</v>
      </c>
      <c r="K243" s="1">
        <v>8</v>
      </c>
      <c r="L243" s="1">
        <v>0</v>
      </c>
      <c r="M243" s="1">
        <f t="shared" si="11"/>
        <v>8</v>
      </c>
      <c r="N243" s="11">
        <f t="shared" si="12"/>
        <v>16</v>
      </c>
    </row>
    <row r="244" spans="2:14" x14ac:dyDescent="0.2">
      <c r="B244" t="s">
        <v>32</v>
      </c>
      <c r="C244" t="s">
        <v>231</v>
      </c>
      <c r="D244" t="s">
        <v>17</v>
      </c>
      <c r="G244">
        <v>3</v>
      </c>
      <c r="H244">
        <v>0</v>
      </c>
      <c r="I244">
        <v>3</v>
      </c>
      <c r="K244" s="1">
        <v>8</v>
      </c>
      <c r="L244" s="1">
        <v>0</v>
      </c>
      <c r="M244" s="1">
        <f t="shared" si="11"/>
        <v>8</v>
      </c>
      <c r="N244" s="11">
        <f t="shared" si="12"/>
        <v>24</v>
      </c>
    </row>
    <row r="245" spans="2:14" x14ac:dyDescent="0.2">
      <c r="B245" t="s">
        <v>32</v>
      </c>
      <c r="C245" t="s">
        <v>250</v>
      </c>
      <c r="D245" t="s">
        <v>17</v>
      </c>
      <c r="G245">
        <v>2</v>
      </c>
      <c r="H245">
        <v>0</v>
      </c>
      <c r="I245">
        <v>2</v>
      </c>
      <c r="K245" s="1">
        <v>8</v>
      </c>
      <c r="L245" s="1">
        <v>0</v>
      </c>
      <c r="M245" s="1">
        <f t="shared" si="11"/>
        <v>8</v>
      </c>
      <c r="N245" s="11">
        <f t="shared" si="12"/>
        <v>16</v>
      </c>
    </row>
    <row r="246" spans="2:14" x14ac:dyDescent="0.2">
      <c r="B246" t="s">
        <v>15</v>
      </c>
      <c r="C246" t="s">
        <v>241</v>
      </c>
      <c r="D246" t="s">
        <v>27</v>
      </c>
      <c r="G246">
        <v>1</v>
      </c>
      <c r="H246">
        <v>0</v>
      </c>
      <c r="I246">
        <v>1</v>
      </c>
      <c r="K246" s="1">
        <v>8</v>
      </c>
      <c r="L246" s="1">
        <v>0</v>
      </c>
      <c r="M246" s="1">
        <f t="shared" si="11"/>
        <v>8</v>
      </c>
      <c r="N246" s="11">
        <f t="shared" si="12"/>
        <v>8</v>
      </c>
    </row>
    <row r="247" spans="2:14" x14ac:dyDescent="0.2">
      <c r="B247" t="s">
        <v>32</v>
      </c>
      <c r="C247" t="s">
        <v>251</v>
      </c>
      <c r="D247" t="s">
        <v>17</v>
      </c>
      <c r="G247">
        <v>1</v>
      </c>
      <c r="H247">
        <v>0</v>
      </c>
      <c r="I247">
        <v>1</v>
      </c>
      <c r="K247" s="1">
        <v>8</v>
      </c>
      <c r="L247" s="1">
        <v>0</v>
      </c>
      <c r="M247" s="1">
        <f t="shared" si="11"/>
        <v>8</v>
      </c>
      <c r="N247" s="11">
        <f t="shared" si="12"/>
        <v>8</v>
      </c>
    </row>
    <row r="248" spans="2:14" x14ac:dyDescent="0.2">
      <c r="B248" t="s">
        <v>32</v>
      </c>
      <c r="C248" t="s">
        <v>252</v>
      </c>
      <c r="D248" t="s">
        <v>253</v>
      </c>
      <c r="G248">
        <v>2</v>
      </c>
      <c r="H248">
        <v>0</v>
      </c>
      <c r="I248">
        <v>2</v>
      </c>
      <c r="K248" s="1">
        <v>8</v>
      </c>
      <c r="L248" s="1">
        <v>0</v>
      </c>
      <c r="M248" s="1">
        <f t="shared" si="11"/>
        <v>8</v>
      </c>
      <c r="N248" s="11">
        <f t="shared" si="12"/>
        <v>16</v>
      </c>
    </row>
    <row r="249" spans="2:14" x14ac:dyDescent="0.2">
      <c r="B249" t="s">
        <v>215</v>
      </c>
      <c r="C249" t="s">
        <v>254</v>
      </c>
      <c r="D249" t="s">
        <v>97</v>
      </c>
      <c r="G249">
        <v>2</v>
      </c>
      <c r="H249">
        <v>0</v>
      </c>
      <c r="I249">
        <v>2</v>
      </c>
      <c r="K249" s="1">
        <v>8</v>
      </c>
      <c r="L249" s="1">
        <v>0</v>
      </c>
      <c r="M249" s="1">
        <f t="shared" si="11"/>
        <v>8</v>
      </c>
      <c r="N249" s="11">
        <f t="shared" si="12"/>
        <v>16</v>
      </c>
    </row>
    <row r="250" spans="2:14" x14ac:dyDescent="0.2">
      <c r="B250" t="s">
        <v>90</v>
      </c>
      <c r="C250" t="s">
        <v>255</v>
      </c>
      <c r="D250" t="s">
        <v>236</v>
      </c>
      <c r="G250">
        <v>1</v>
      </c>
      <c r="H250">
        <v>0</v>
      </c>
      <c r="I250">
        <v>1</v>
      </c>
      <c r="K250" s="1">
        <v>8</v>
      </c>
      <c r="L250" s="1">
        <v>0</v>
      </c>
      <c r="M250" s="1">
        <f t="shared" si="11"/>
        <v>8</v>
      </c>
      <c r="N250" s="11">
        <f t="shared" si="12"/>
        <v>8</v>
      </c>
    </row>
    <row r="251" spans="2:14" x14ac:dyDescent="0.2">
      <c r="B251" t="s">
        <v>215</v>
      </c>
      <c r="C251" t="s">
        <v>256</v>
      </c>
      <c r="D251" t="s">
        <v>257</v>
      </c>
      <c r="G251">
        <v>2</v>
      </c>
      <c r="H251">
        <v>0</v>
      </c>
      <c r="I251">
        <v>2</v>
      </c>
      <c r="K251" s="1">
        <v>8</v>
      </c>
      <c r="L251" s="1">
        <v>0</v>
      </c>
      <c r="M251" s="1">
        <f t="shared" si="11"/>
        <v>8</v>
      </c>
      <c r="N251" s="11">
        <f t="shared" si="12"/>
        <v>16</v>
      </c>
    </row>
    <row r="252" spans="2:14" x14ac:dyDescent="0.2">
      <c r="B252" t="s">
        <v>215</v>
      </c>
      <c r="C252" t="s">
        <v>258</v>
      </c>
      <c r="D252" t="s">
        <v>257</v>
      </c>
      <c r="G252">
        <v>1</v>
      </c>
      <c r="H252">
        <v>0</v>
      </c>
      <c r="I252">
        <v>1</v>
      </c>
      <c r="K252" s="1">
        <v>8</v>
      </c>
      <c r="L252" s="1">
        <v>0</v>
      </c>
      <c r="M252" s="1">
        <f t="shared" si="11"/>
        <v>8</v>
      </c>
      <c r="N252" s="11">
        <f t="shared" si="12"/>
        <v>8</v>
      </c>
    </row>
    <row r="253" spans="2:14" x14ac:dyDescent="0.2">
      <c r="B253" t="s">
        <v>90</v>
      </c>
      <c r="C253" t="s">
        <v>259</v>
      </c>
      <c r="D253" t="s">
        <v>239</v>
      </c>
      <c r="G253">
        <v>1</v>
      </c>
      <c r="H253">
        <v>0</v>
      </c>
      <c r="I253">
        <v>1</v>
      </c>
      <c r="K253" s="1">
        <v>8</v>
      </c>
      <c r="L253" s="1">
        <v>0</v>
      </c>
      <c r="M253" s="1">
        <f t="shared" si="11"/>
        <v>8</v>
      </c>
      <c r="N253" s="11">
        <f t="shared" si="12"/>
        <v>8</v>
      </c>
    </row>
    <row r="254" spans="2:14" x14ac:dyDescent="0.2">
      <c r="B254" t="s">
        <v>215</v>
      </c>
      <c r="C254" t="s">
        <v>260</v>
      </c>
      <c r="D254" t="s">
        <v>261</v>
      </c>
      <c r="G254">
        <v>2</v>
      </c>
      <c r="H254">
        <v>0</v>
      </c>
      <c r="I254">
        <v>2</v>
      </c>
      <c r="K254" s="1">
        <v>8</v>
      </c>
      <c r="L254" s="1">
        <v>0</v>
      </c>
      <c r="M254" s="1">
        <f t="shared" si="11"/>
        <v>8</v>
      </c>
      <c r="N254" s="11">
        <f t="shared" si="12"/>
        <v>16</v>
      </c>
    </row>
    <row r="255" spans="2:14" x14ac:dyDescent="0.2">
      <c r="B255" t="s">
        <v>32</v>
      </c>
      <c r="C255" t="s">
        <v>262</v>
      </c>
      <c r="D255" t="s">
        <v>253</v>
      </c>
      <c r="G255">
        <v>1</v>
      </c>
      <c r="H255">
        <v>0</v>
      </c>
      <c r="I255">
        <v>1</v>
      </c>
      <c r="K255" s="1">
        <v>8</v>
      </c>
      <c r="L255" s="1">
        <v>0</v>
      </c>
      <c r="M255" s="1">
        <f t="shared" si="11"/>
        <v>8</v>
      </c>
      <c r="N255" s="11">
        <f t="shared" si="12"/>
        <v>8</v>
      </c>
    </row>
    <row r="256" spans="2:14" x14ac:dyDescent="0.2">
      <c r="B256" t="s">
        <v>32</v>
      </c>
      <c r="C256" t="s">
        <v>262</v>
      </c>
      <c r="D256" t="s">
        <v>71</v>
      </c>
      <c r="G256">
        <v>1</v>
      </c>
      <c r="H256">
        <v>0</v>
      </c>
      <c r="I256">
        <v>1</v>
      </c>
      <c r="K256" s="1">
        <v>8</v>
      </c>
      <c r="L256" s="1">
        <v>0</v>
      </c>
      <c r="M256" s="1">
        <f t="shared" si="11"/>
        <v>8</v>
      </c>
      <c r="N256" s="11">
        <f t="shared" si="12"/>
        <v>8</v>
      </c>
    </row>
    <row r="257" spans="2:14" x14ac:dyDescent="0.2">
      <c r="B257" t="s">
        <v>90</v>
      </c>
      <c r="C257" t="s">
        <v>263</v>
      </c>
      <c r="D257" t="s">
        <v>102</v>
      </c>
      <c r="G257">
        <v>1</v>
      </c>
      <c r="H257">
        <v>0</v>
      </c>
      <c r="I257">
        <v>1</v>
      </c>
      <c r="K257" s="1">
        <v>8</v>
      </c>
      <c r="L257" s="1">
        <v>0</v>
      </c>
      <c r="M257" s="1">
        <f t="shared" si="11"/>
        <v>8</v>
      </c>
      <c r="N257" s="11">
        <f t="shared" si="12"/>
        <v>8</v>
      </c>
    </row>
    <row r="258" spans="2:14" x14ac:dyDescent="0.2">
      <c r="B258" t="s">
        <v>90</v>
      </c>
      <c r="C258" t="s">
        <v>264</v>
      </c>
      <c r="D258" t="s">
        <v>102</v>
      </c>
      <c r="G258">
        <v>2</v>
      </c>
      <c r="H258">
        <v>0</v>
      </c>
      <c r="I258">
        <v>2</v>
      </c>
      <c r="K258" s="1">
        <v>8</v>
      </c>
      <c r="L258" s="1">
        <v>0</v>
      </c>
      <c r="M258" s="1">
        <f t="shared" ref="M258:M321" si="13">K258+L258</f>
        <v>8</v>
      </c>
      <c r="N258" s="11">
        <f t="shared" si="12"/>
        <v>16</v>
      </c>
    </row>
    <row r="259" spans="2:14" x14ac:dyDescent="0.2">
      <c r="B259" t="s">
        <v>90</v>
      </c>
      <c r="C259" t="s">
        <v>265</v>
      </c>
      <c r="D259" t="s">
        <v>236</v>
      </c>
      <c r="G259">
        <v>1</v>
      </c>
      <c r="H259">
        <v>0</v>
      </c>
      <c r="I259">
        <v>1</v>
      </c>
      <c r="K259" s="1">
        <v>8</v>
      </c>
      <c r="L259" s="1">
        <v>0</v>
      </c>
      <c r="M259" s="1">
        <f t="shared" si="13"/>
        <v>8</v>
      </c>
      <c r="N259" s="11">
        <f t="shared" ref="N259:N322" si="14">G259*K259</f>
        <v>8</v>
      </c>
    </row>
    <row r="260" spans="2:14" x14ac:dyDescent="0.2">
      <c r="B260" t="s">
        <v>90</v>
      </c>
      <c r="C260" t="s">
        <v>266</v>
      </c>
      <c r="D260" t="s">
        <v>102</v>
      </c>
      <c r="G260">
        <v>1</v>
      </c>
      <c r="H260">
        <v>0</v>
      </c>
      <c r="I260">
        <v>1</v>
      </c>
      <c r="K260" s="1">
        <v>8</v>
      </c>
      <c r="L260" s="1">
        <v>0</v>
      </c>
      <c r="M260" s="1">
        <f t="shared" si="13"/>
        <v>8</v>
      </c>
      <c r="N260" s="11">
        <f t="shared" si="14"/>
        <v>8</v>
      </c>
    </row>
    <row r="261" spans="2:14" x14ac:dyDescent="0.2">
      <c r="B261" t="s">
        <v>90</v>
      </c>
      <c r="C261" t="s">
        <v>267</v>
      </c>
      <c r="D261" t="s">
        <v>239</v>
      </c>
      <c r="G261">
        <v>1</v>
      </c>
      <c r="H261">
        <v>0</v>
      </c>
      <c r="I261">
        <v>1</v>
      </c>
      <c r="K261" s="1">
        <v>8</v>
      </c>
      <c r="L261" s="1">
        <v>0</v>
      </c>
      <c r="M261" s="1">
        <f t="shared" si="13"/>
        <v>8</v>
      </c>
      <c r="N261" s="11">
        <f t="shared" si="14"/>
        <v>8</v>
      </c>
    </row>
    <row r="262" spans="2:14" x14ac:dyDescent="0.2">
      <c r="B262" t="s">
        <v>90</v>
      </c>
      <c r="C262" t="s">
        <v>268</v>
      </c>
      <c r="D262" t="s">
        <v>237</v>
      </c>
      <c r="G262">
        <v>1</v>
      </c>
      <c r="H262">
        <v>0</v>
      </c>
      <c r="I262">
        <v>1</v>
      </c>
      <c r="K262" s="1">
        <v>8</v>
      </c>
      <c r="L262" s="1">
        <v>0</v>
      </c>
      <c r="M262" s="1">
        <f t="shared" si="13"/>
        <v>8</v>
      </c>
      <c r="N262" s="11">
        <f t="shared" si="14"/>
        <v>8</v>
      </c>
    </row>
    <row r="263" spans="2:14" x14ac:dyDescent="0.2">
      <c r="B263" t="s">
        <v>32</v>
      </c>
      <c r="C263" t="s">
        <v>269</v>
      </c>
      <c r="D263" t="s">
        <v>253</v>
      </c>
      <c r="G263">
        <v>1</v>
      </c>
      <c r="H263">
        <v>0</v>
      </c>
      <c r="I263">
        <v>1</v>
      </c>
      <c r="K263" s="1">
        <v>8</v>
      </c>
      <c r="L263" s="1">
        <v>0</v>
      </c>
      <c r="M263" s="1">
        <f t="shared" si="13"/>
        <v>8</v>
      </c>
      <c r="N263" s="11">
        <f t="shared" si="14"/>
        <v>8</v>
      </c>
    </row>
    <row r="264" spans="2:14" x14ac:dyDescent="0.2">
      <c r="B264" t="s">
        <v>32</v>
      </c>
      <c r="C264" t="s">
        <v>263</v>
      </c>
      <c r="D264" t="s">
        <v>253</v>
      </c>
      <c r="G264">
        <v>1</v>
      </c>
      <c r="H264">
        <v>0</v>
      </c>
      <c r="I264">
        <v>1</v>
      </c>
      <c r="K264" s="1">
        <v>8</v>
      </c>
      <c r="L264" s="1">
        <v>0</v>
      </c>
      <c r="M264" s="1">
        <f t="shared" si="13"/>
        <v>8</v>
      </c>
      <c r="N264" s="11">
        <f t="shared" si="14"/>
        <v>8</v>
      </c>
    </row>
    <row r="265" spans="2:14" x14ac:dyDescent="0.2">
      <c r="B265" t="s">
        <v>32</v>
      </c>
      <c r="C265" t="s">
        <v>270</v>
      </c>
      <c r="D265" t="s">
        <v>17</v>
      </c>
      <c r="G265">
        <v>1</v>
      </c>
      <c r="H265">
        <v>0</v>
      </c>
      <c r="I265">
        <v>1</v>
      </c>
      <c r="K265" s="1">
        <v>8</v>
      </c>
      <c r="L265" s="1">
        <v>0</v>
      </c>
      <c r="M265" s="1">
        <f t="shared" si="13"/>
        <v>8</v>
      </c>
      <c r="N265" s="11">
        <f t="shared" si="14"/>
        <v>8</v>
      </c>
    </row>
    <row r="266" spans="2:14" x14ac:dyDescent="0.2">
      <c r="B266" t="s">
        <v>90</v>
      </c>
      <c r="C266" t="s">
        <v>271</v>
      </c>
      <c r="D266" t="s">
        <v>102</v>
      </c>
      <c r="G266">
        <v>2</v>
      </c>
      <c r="H266">
        <v>0</v>
      </c>
      <c r="I266">
        <v>2</v>
      </c>
      <c r="K266" s="1">
        <v>8</v>
      </c>
      <c r="L266" s="1">
        <v>0</v>
      </c>
      <c r="M266" s="1">
        <f t="shared" si="13"/>
        <v>8</v>
      </c>
      <c r="N266" s="11">
        <f t="shared" si="14"/>
        <v>16</v>
      </c>
    </row>
    <row r="267" spans="2:14" x14ac:dyDescent="0.2">
      <c r="B267" t="s">
        <v>90</v>
      </c>
      <c r="C267" t="s">
        <v>272</v>
      </c>
      <c r="D267" t="s">
        <v>91</v>
      </c>
      <c r="G267">
        <v>1</v>
      </c>
      <c r="H267">
        <v>0</v>
      </c>
      <c r="I267">
        <v>1</v>
      </c>
      <c r="K267" s="1">
        <v>8</v>
      </c>
      <c r="L267" s="1">
        <v>0</v>
      </c>
      <c r="M267" s="1">
        <f t="shared" si="13"/>
        <v>8</v>
      </c>
      <c r="N267" s="11">
        <f t="shared" si="14"/>
        <v>8</v>
      </c>
    </row>
    <row r="268" spans="2:14" x14ac:dyDescent="0.2">
      <c r="B268" t="s">
        <v>93</v>
      </c>
      <c r="C268" t="s">
        <v>273</v>
      </c>
      <c r="D268" t="s">
        <v>91</v>
      </c>
      <c r="G268">
        <v>5</v>
      </c>
      <c r="H268">
        <v>2</v>
      </c>
      <c r="I268">
        <v>3</v>
      </c>
      <c r="K268" s="1">
        <v>8</v>
      </c>
      <c r="L268" s="1">
        <v>0</v>
      </c>
      <c r="M268" s="1">
        <f t="shared" si="13"/>
        <v>8</v>
      </c>
      <c r="N268" s="11">
        <f t="shared" si="14"/>
        <v>40</v>
      </c>
    </row>
    <row r="269" spans="2:14" x14ac:dyDescent="0.2">
      <c r="B269" t="s">
        <v>93</v>
      </c>
      <c r="C269" t="s">
        <v>273</v>
      </c>
      <c r="D269" t="s">
        <v>95</v>
      </c>
      <c r="G269">
        <v>2</v>
      </c>
      <c r="H269">
        <v>2</v>
      </c>
      <c r="I269">
        <v>0</v>
      </c>
      <c r="K269" s="1">
        <v>8</v>
      </c>
      <c r="L269" s="1">
        <v>0</v>
      </c>
      <c r="M269" s="1">
        <f t="shared" si="13"/>
        <v>8</v>
      </c>
      <c r="N269" s="11">
        <f t="shared" si="14"/>
        <v>16</v>
      </c>
    </row>
    <row r="270" spans="2:14" x14ac:dyDescent="0.2">
      <c r="B270" t="s">
        <v>93</v>
      </c>
      <c r="C270" t="s">
        <v>274</v>
      </c>
      <c r="D270" t="s">
        <v>95</v>
      </c>
      <c r="G270">
        <v>1</v>
      </c>
      <c r="H270">
        <v>0</v>
      </c>
      <c r="I270">
        <v>1</v>
      </c>
      <c r="K270" s="1">
        <v>8</v>
      </c>
      <c r="L270" s="1">
        <v>0</v>
      </c>
      <c r="M270" s="1">
        <f t="shared" si="13"/>
        <v>8</v>
      </c>
      <c r="N270" s="11">
        <f t="shared" si="14"/>
        <v>8</v>
      </c>
    </row>
    <row r="271" spans="2:14" x14ac:dyDescent="0.2">
      <c r="B271" t="s">
        <v>275</v>
      </c>
      <c r="C271" t="s">
        <v>274</v>
      </c>
      <c r="D271" t="s">
        <v>27</v>
      </c>
      <c r="G271">
        <v>1</v>
      </c>
      <c r="H271">
        <v>0</v>
      </c>
      <c r="I271">
        <v>1</v>
      </c>
      <c r="K271" s="1">
        <v>8</v>
      </c>
      <c r="L271" s="1">
        <v>0</v>
      </c>
      <c r="M271" s="1">
        <f t="shared" si="13"/>
        <v>8</v>
      </c>
      <c r="N271" s="11">
        <f t="shared" si="14"/>
        <v>8</v>
      </c>
    </row>
    <row r="272" spans="2:14" x14ac:dyDescent="0.2">
      <c r="B272" t="s">
        <v>96</v>
      </c>
      <c r="C272" t="s">
        <v>274</v>
      </c>
      <c r="D272" t="s">
        <v>97</v>
      </c>
      <c r="G272">
        <v>8</v>
      </c>
      <c r="H272">
        <v>1</v>
      </c>
      <c r="I272">
        <v>7</v>
      </c>
      <c r="K272" s="1">
        <v>8</v>
      </c>
      <c r="L272" s="1">
        <v>0</v>
      </c>
      <c r="M272" s="1">
        <f t="shared" si="13"/>
        <v>8</v>
      </c>
      <c r="N272" s="11">
        <f t="shared" si="14"/>
        <v>64</v>
      </c>
    </row>
    <row r="273" spans="1:27" x14ac:dyDescent="0.2">
      <c r="B273" t="s">
        <v>93</v>
      </c>
      <c r="C273" t="s">
        <v>274</v>
      </c>
      <c r="D273" t="s">
        <v>91</v>
      </c>
      <c r="G273">
        <v>4</v>
      </c>
      <c r="H273">
        <v>0</v>
      </c>
      <c r="I273">
        <v>4</v>
      </c>
      <c r="K273" s="1">
        <v>8</v>
      </c>
      <c r="L273" s="1">
        <v>0</v>
      </c>
      <c r="M273" s="1">
        <f t="shared" si="13"/>
        <v>8</v>
      </c>
      <c r="N273" s="11">
        <f t="shared" si="14"/>
        <v>32</v>
      </c>
    </row>
    <row r="274" spans="1:27" x14ac:dyDescent="0.2">
      <c r="A274" t="s">
        <v>276</v>
      </c>
      <c r="B274" t="s">
        <v>277</v>
      </c>
      <c r="C274" t="s">
        <v>278</v>
      </c>
      <c r="D274" t="s">
        <v>34</v>
      </c>
      <c r="F274">
        <v>20</v>
      </c>
      <c r="G274">
        <v>1</v>
      </c>
      <c r="H274">
        <v>0</v>
      </c>
      <c r="I274">
        <v>1</v>
      </c>
      <c r="K274" s="1">
        <v>8</v>
      </c>
      <c r="L274" s="1">
        <v>0</v>
      </c>
      <c r="M274" s="1">
        <f t="shared" si="13"/>
        <v>8</v>
      </c>
      <c r="N274" s="11">
        <f t="shared" si="14"/>
        <v>8</v>
      </c>
      <c r="O274">
        <f t="shared" ref="O274:O281" si="15">F274</f>
        <v>20</v>
      </c>
    </row>
    <row r="275" spans="1:27" s="7" customFormat="1" ht="20" customHeight="1" x14ac:dyDescent="0.2">
      <c r="A275" t="s">
        <v>279</v>
      </c>
      <c r="B275" t="s">
        <v>277</v>
      </c>
      <c r="C275" t="s">
        <v>280</v>
      </c>
      <c r="D275" t="s">
        <v>34</v>
      </c>
      <c r="E275"/>
      <c r="F275">
        <v>25</v>
      </c>
      <c r="G275">
        <v>1</v>
      </c>
      <c r="H275">
        <v>0</v>
      </c>
      <c r="I275">
        <v>1</v>
      </c>
      <c r="J275"/>
      <c r="K275" s="1">
        <v>8</v>
      </c>
      <c r="L275" s="1">
        <v>0</v>
      </c>
      <c r="M275" s="1">
        <f t="shared" si="13"/>
        <v>8</v>
      </c>
      <c r="N275" s="11">
        <f t="shared" si="14"/>
        <v>8</v>
      </c>
      <c r="O275">
        <f t="shared" si="15"/>
        <v>25</v>
      </c>
      <c r="P275"/>
      <c r="Q275"/>
      <c r="R275"/>
      <c r="S275"/>
      <c r="T275"/>
      <c r="U275" s="6"/>
      <c r="W275" s="8"/>
      <c r="X275" s="8"/>
      <c r="Y275" s="8"/>
      <c r="Z275" s="8"/>
      <c r="AA275" s="8"/>
    </row>
    <row r="276" spans="1:27" s="7" customFormat="1" ht="20" customHeight="1" x14ac:dyDescent="0.2">
      <c r="A276" t="s">
        <v>281</v>
      </c>
      <c r="B276" t="s">
        <v>282</v>
      </c>
      <c r="C276" t="s">
        <v>283</v>
      </c>
      <c r="D276" t="s">
        <v>97</v>
      </c>
      <c r="E276"/>
      <c r="F276">
        <v>20</v>
      </c>
      <c r="G276">
        <v>2</v>
      </c>
      <c r="H276">
        <v>2</v>
      </c>
      <c r="I276">
        <v>2</v>
      </c>
      <c r="J276"/>
      <c r="K276" s="1">
        <v>8</v>
      </c>
      <c r="L276" s="1">
        <v>0</v>
      </c>
      <c r="M276" s="1">
        <f t="shared" si="13"/>
        <v>8</v>
      </c>
      <c r="N276" s="11">
        <f t="shared" si="14"/>
        <v>16</v>
      </c>
      <c r="O276">
        <f t="shared" si="15"/>
        <v>20</v>
      </c>
      <c r="P276"/>
      <c r="Q276"/>
      <c r="R276"/>
      <c r="S276"/>
      <c r="T276"/>
      <c r="U276" s="6"/>
      <c r="W276" s="8"/>
      <c r="X276" s="8"/>
      <c r="Y276" s="8"/>
      <c r="Z276" s="8"/>
      <c r="AA276" s="8"/>
    </row>
    <row r="277" spans="1:27" s="7" customFormat="1" ht="20" customHeight="1" x14ac:dyDescent="0.2">
      <c r="A277" t="s">
        <v>284</v>
      </c>
      <c r="B277" t="s">
        <v>285</v>
      </c>
      <c r="C277" t="s">
        <v>278</v>
      </c>
      <c r="D277" t="s">
        <v>91</v>
      </c>
      <c r="E277"/>
      <c r="F277">
        <v>20</v>
      </c>
      <c r="G277">
        <v>1</v>
      </c>
      <c r="H277">
        <v>1</v>
      </c>
      <c r="I277">
        <v>1</v>
      </c>
      <c r="J277"/>
      <c r="K277" s="1">
        <v>8</v>
      </c>
      <c r="L277" s="1">
        <v>0</v>
      </c>
      <c r="M277" s="1">
        <f t="shared" si="13"/>
        <v>8</v>
      </c>
      <c r="N277" s="11">
        <f t="shared" si="14"/>
        <v>8</v>
      </c>
      <c r="O277">
        <f t="shared" si="15"/>
        <v>20</v>
      </c>
      <c r="P277"/>
      <c r="Q277"/>
      <c r="R277"/>
      <c r="S277"/>
      <c r="T277"/>
      <c r="U277" s="6"/>
      <c r="W277" s="8"/>
      <c r="X277" s="8"/>
      <c r="Y277" s="8"/>
      <c r="Z277" s="8"/>
      <c r="AA277" s="8"/>
    </row>
    <row r="278" spans="1:27" s="7" customFormat="1" ht="20" customHeight="1" x14ac:dyDescent="0.2">
      <c r="A278" t="s">
        <v>286</v>
      </c>
      <c r="B278" t="s">
        <v>285</v>
      </c>
      <c r="C278" t="s">
        <v>287</v>
      </c>
      <c r="D278" t="s">
        <v>95</v>
      </c>
      <c r="E278"/>
      <c r="F278">
        <v>22</v>
      </c>
      <c r="G278">
        <v>1</v>
      </c>
      <c r="H278">
        <v>1</v>
      </c>
      <c r="I278">
        <v>1</v>
      </c>
      <c r="J278"/>
      <c r="K278" s="1">
        <v>8</v>
      </c>
      <c r="L278" s="1">
        <v>0</v>
      </c>
      <c r="M278" s="1">
        <f t="shared" si="13"/>
        <v>8</v>
      </c>
      <c r="N278" s="11">
        <f t="shared" si="14"/>
        <v>8</v>
      </c>
      <c r="O278">
        <f t="shared" si="15"/>
        <v>22</v>
      </c>
      <c r="P278"/>
      <c r="Q278"/>
      <c r="R278"/>
      <c r="S278"/>
      <c r="T278"/>
      <c r="U278" s="6"/>
      <c r="W278" s="8"/>
      <c r="X278" s="8"/>
      <c r="Y278" s="8"/>
      <c r="Z278" s="8"/>
      <c r="AA278" s="8"/>
    </row>
    <row r="279" spans="1:27" s="7" customFormat="1" ht="20" customHeight="1" x14ac:dyDescent="0.2">
      <c r="A279" t="s">
        <v>288</v>
      </c>
      <c r="B279" t="s">
        <v>285</v>
      </c>
      <c r="C279" t="s">
        <v>289</v>
      </c>
      <c r="D279" t="s">
        <v>91</v>
      </c>
      <c r="E279"/>
      <c r="F279">
        <v>20</v>
      </c>
      <c r="G279">
        <v>1</v>
      </c>
      <c r="H279">
        <v>1</v>
      </c>
      <c r="I279">
        <v>1</v>
      </c>
      <c r="J279"/>
      <c r="K279" s="1">
        <v>8</v>
      </c>
      <c r="L279" s="1">
        <v>0</v>
      </c>
      <c r="M279" s="1">
        <f t="shared" si="13"/>
        <v>8</v>
      </c>
      <c r="N279" s="11">
        <f t="shared" si="14"/>
        <v>8</v>
      </c>
      <c r="O279">
        <f t="shared" si="15"/>
        <v>20</v>
      </c>
      <c r="P279"/>
      <c r="Q279"/>
      <c r="R279"/>
      <c r="S279"/>
      <c r="T279"/>
      <c r="U279" s="6"/>
      <c r="W279" s="8"/>
      <c r="X279" s="8"/>
      <c r="Y279" s="8"/>
      <c r="Z279" s="8"/>
      <c r="AA279" s="8"/>
    </row>
    <row r="280" spans="1:27" s="7" customFormat="1" ht="20" customHeight="1" x14ac:dyDescent="0.2">
      <c r="A280" t="s">
        <v>290</v>
      </c>
      <c r="B280" t="s">
        <v>285</v>
      </c>
      <c r="C280" t="s">
        <v>291</v>
      </c>
      <c r="D280" t="s">
        <v>239</v>
      </c>
      <c r="E280"/>
      <c r="F280">
        <v>20</v>
      </c>
      <c r="G280">
        <v>1</v>
      </c>
      <c r="H280">
        <v>1</v>
      </c>
      <c r="I280">
        <v>1</v>
      </c>
      <c r="J280"/>
      <c r="K280" s="1">
        <v>8</v>
      </c>
      <c r="L280" s="1">
        <v>0</v>
      </c>
      <c r="M280" s="1">
        <f t="shared" si="13"/>
        <v>8</v>
      </c>
      <c r="N280" s="11">
        <f t="shared" si="14"/>
        <v>8</v>
      </c>
      <c r="O280">
        <f t="shared" si="15"/>
        <v>20</v>
      </c>
      <c r="P280"/>
      <c r="Q280"/>
      <c r="R280"/>
      <c r="S280"/>
      <c r="T280"/>
      <c r="U280" s="6"/>
      <c r="W280" s="8"/>
      <c r="X280" s="8"/>
      <c r="Y280" s="8"/>
      <c r="Z280" s="8"/>
      <c r="AA280" s="8"/>
    </row>
    <row r="281" spans="1:27" s="7" customFormat="1" ht="20" customHeight="1" x14ac:dyDescent="0.2">
      <c r="A281" t="s">
        <v>292</v>
      </c>
      <c r="B281" t="s">
        <v>282</v>
      </c>
      <c r="C281" t="s">
        <v>293</v>
      </c>
      <c r="D281" t="s">
        <v>97</v>
      </c>
      <c r="E281"/>
      <c r="F281">
        <v>20</v>
      </c>
      <c r="G281">
        <v>1</v>
      </c>
      <c r="H281">
        <v>1</v>
      </c>
      <c r="I281">
        <v>1</v>
      </c>
      <c r="J281"/>
      <c r="K281" s="1">
        <v>8</v>
      </c>
      <c r="L281" s="1">
        <v>0</v>
      </c>
      <c r="M281" s="1">
        <f t="shared" si="13"/>
        <v>8</v>
      </c>
      <c r="N281" s="11">
        <f t="shared" si="14"/>
        <v>8</v>
      </c>
      <c r="O281">
        <f t="shared" si="15"/>
        <v>20</v>
      </c>
      <c r="P281"/>
      <c r="Q281"/>
      <c r="R281"/>
      <c r="S281"/>
      <c r="T281"/>
      <c r="U281" s="6"/>
      <c r="W281" s="8"/>
      <c r="X281" s="8"/>
      <c r="Y281" s="8"/>
      <c r="Z281" s="8"/>
      <c r="AA281" s="8"/>
    </row>
    <row r="282" spans="1:27" s="7" customFormat="1" ht="20" customHeight="1" x14ac:dyDescent="0.2">
      <c r="A282" t="s">
        <v>294</v>
      </c>
      <c r="B282" t="s">
        <v>282</v>
      </c>
      <c r="C282" t="s">
        <v>295</v>
      </c>
      <c r="D282" t="s">
        <v>97</v>
      </c>
      <c r="E282"/>
      <c r="F282">
        <v>20</v>
      </c>
      <c r="G282">
        <v>2</v>
      </c>
      <c r="H282">
        <v>2</v>
      </c>
      <c r="I282">
        <v>2</v>
      </c>
      <c r="J282"/>
      <c r="K282" s="1">
        <v>8</v>
      </c>
      <c r="L282" s="1">
        <v>0</v>
      </c>
      <c r="M282" s="1">
        <f t="shared" si="13"/>
        <v>8</v>
      </c>
      <c r="N282" s="11">
        <f t="shared" si="14"/>
        <v>16</v>
      </c>
      <c r="O282">
        <v>20</v>
      </c>
      <c r="P282"/>
      <c r="Q282"/>
      <c r="R282"/>
      <c r="S282"/>
      <c r="T282"/>
      <c r="U282" s="6"/>
      <c r="W282" s="8"/>
      <c r="X282" s="8"/>
      <c r="Y282" s="8"/>
      <c r="Z282" s="8"/>
      <c r="AA282" s="8"/>
    </row>
    <row r="283" spans="1:27" s="7" customFormat="1" ht="20" customHeight="1" x14ac:dyDescent="0.2">
      <c r="A283" t="s">
        <v>296</v>
      </c>
      <c r="B283" t="s">
        <v>282</v>
      </c>
      <c r="C283" t="s">
        <v>297</v>
      </c>
      <c r="D283" t="s">
        <v>97</v>
      </c>
      <c r="E283"/>
      <c r="F283">
        <v>20</v>
      </c>
      <c r="G283">
        <v>1</v>
      </c>
      <c r="H283">
        <v>1</v>
      </c>
      <c r="I283">
        <v>1</v>
      </c>
      <c r="J283"/>
      <c r="K283" s="1">
        <v>8</v>
      </c>
      <c r="L283" s="1">
        <v>0</v>
      </c>
      <c r="M283" s="1">
        <f t="shared" si="13"/>
        <v>8</v>
      </c>
      <c r="N283" s="11">
        <f t="shared" si="14"/>
        <v>8</v>
      </c>
      <c r="O283">
        <v>20</v>
      </c>
      <c r="P283"/>
      <c r="Q283"/>
      <c r="R283"/>
      <c r="S283"/>
      <c r="T283"/>
      <c r="U283" s="6"/>
      <c r="W283" s="8"/>
      <c r="X283" s="8"/>
      <c r="Y283" s="8"/>
      <c r="Z283" s="8"/>
      <c r="AA283" s="8"/>
    </row>
    <row r="284" spans="1:27" s="7" customFormat="1" ht="20" customHeight="1" x14ac:dyDescent="0.2">
      <c r="A284" t="s">
        <v>298</v>
      </c>
      <c r="B284" t="s">
        <v>282</v>
      </c>
      <c r="C284" t="s">
        <v>299</v>
      </c>
      <c r="D284" t="s">
        <v>97</v>
      </c>
      <c r="E284"/>
      <c r="F284">
        <v>20</v>
      </c>
      <c r="G284">
        <v>1</v>
      </c>
      <c r="H284">
        <v>1</v>
      </c>
      <c r="I284">
        <v>1</v>
      </c>
      <c r="J284"/>
      <c r="K284" s="1">
        <v>8</v>
      </c>
      <c r="L284" s="1">
        <v>0</v>
      </c>
      <c r="M284" s="1">
        <f t="shared" si="13"/>
        <v>8</v>
      </c>
      <c r="N284" s="11">
        <f t="shared" si="14"/>
        <v>8</v>
      </c>
      <c r="O284">
        <v>20</v>
      </c>
      <c r="P284"/>
      <c r="Q284"/>
      <c r="R284"/>
      <c r="S284"/>
      <c r="T284"/>
      <c r="U284" s="6"/>
      <c r="W284" s="8"/>
      <c r="X284" s="8"/>
      <c r="Y284" s="8"/>
      <c r="Z284" s="8"/>
      <c r="AA284" s="8"/>
    </row>
    <row r="285" spans="1:27" s="7" customFormat="1" ht="20" customHeight="1" x14ac:dyDescent="0.2">
      <c r="A285" t="s">
        <v>300</v>
      </c>
      <c r="B285" t="s">
        <v>282</v>
      </c>
      <c r="C285" t="s">
        <v>301</v>
      </c>
      <c r="D285" t="s">
        <v>97</v>
      </c>
      <c r="E285"/>
      <c r="F285">
        <v>20</v>
      </c>
      <c r="G285">
        <v>1</v>
      </c>
      <c r="H285">
        <v>1</v>
      </c>
      <c r="I285">
        <v>1</v>
      </c>
      <c r="J285"/>
      <c r="K285" s="1">
        <v>8</v>
      </c>
      <c r="L285" s="1">
        <v>0</v>
      </c>
      <c r="M285" s="1">
        <f t="shared" si="13"/>
        <v>8</v>
      </c>
      <c r="N285" s="11">
        <f t="shared" si="14"/>
        <v>8</v>
      </c>
      <c r="O285">
        <v>20</v>
      </c>
      <c r="P285"/>
      <c r="Q285"/>
      <c r="R285"/>
      <c r="S285"/>
      <c r="T285"/>
      <c r="U285" s="6"/>
      <c r="W285" s="8"/>
      <c r="X285" s="8"/>
      <c r="Y285" s="8"/>
      <c r="Z285" s="8"/>
      <c r="AA285" s="8"/>
    </row>
    <row r="286" spans="1:27" s="7" customFormat="1" ht="20" customHeight="1" x14ac:dyDescent="0.2">
      <c r="A286" t="s">
        <v>302</v>
      </c>
      <c r="B286" t="s">
        <v>282</v>
      </c>
      <c r="C286" t="s">
        <v>303</v>
      </c>
      <c r="D286" t="s">
        <v>97</v>
      </c>
      <c r="E286"/>
      <c r="F286">
        <v>20</v>
      </c>
      <c r="G286">
        <v>1</v>
      </c>
      <c r="H286">
        <v>1</v>
      </c>
      <c r="I286">
        <v>1</v>
      </c>
      <c r="J286"/>
      <c r="K286" s="1">
        <v>8</v>
      </c>
      <c r="L286" s="1">
        <v>0</v>
      </c>
      <c r="M286" s="1">
        <f t="shared" si="13"/>
        <v>8</v>
      </c>
      <c r="N286" s="11">
        <f t="shared" si="14"/>
        <v>8</v>
      </c>
      <c r="O286">
        <v>20</v>
      </c>
      <c r="P286"/>
      <c r="Q286"/>
      <c r="R286"/>
      <c r="S286"/>
      <c r="T286"/>
      <c r="U286" s="6"/>
      <c r="W286" s="8"/>
      <c r="X286" s="8"/>
      <c r="Y286" s="8"/>
      <c r="Z286" s="8"/>
      <c r="AA286" s="8"/>
    </row>
    <row r="287" spans="1:27" s="7" customFormat="1" ht="20" customHeight="1" x14ac:dyDescent="0.2">
      <c r="A287" t="s">
        <v>304</v>
      </c>
      <c r="B287" t="s">
        <v>285</v>
      </c>
      <c r="C287" t="s">
        <v>305</v>
      </c>
      <c r="D287" t="s">
        <v>91</v>
      </c>
      <c r="E287"/>
      <c r="F287">
        <v>15</v>
      </c>
      <c r="G287">
        <v>1</v>
      </c>
      <c r="H287">
        <v>1</v>
      </c>
      <c r="I287">
        <v>1</v>
      </c>
      <c r="J287"/>
      <c r="K287" s="1">
        <v>8</v>
      </c>
      <c r="L287" s="1">
        <v>0</v>
      </c>
      <c r="M287" s="1">
        <f t="shared" si="13"/>
        <v>8</v>
      </c>
      <c r="N287" s="11">
        <f t="shared" si="14"/>
        <v>8</v>
      </c>
      <c r="O287">
        <v>15</v>
      </c>
      <c r="P287"/>
      <c r="Q287"/>
      <c r="R287"/>
      <c r="S287"/>
      <c r="T287"/>
      <c r="U287" s="6"/>
      <c r="W287" s="8"/>
      <c r="X287" s="8"/>
      <c r="Y287" s="8"/>
      <c r="Z287" s="8"/>
      <c r="AA287" s="8"/>
    </row>
    <row r="288" spans="1:27" s="7" customFormat="1" ht="20" customHeight="1" x14ac:dyDescent="0.2">
      <c r="A288" t="s">
        <v>306</v>
      </c>
      <c r="B288" t="s">
        <v>277</v>
      </c>
      <c r="C288" t="s">
        <v>307</v>
      </c>
      <c r="D288" t="s">
        <v>27</v>
      </c>
      <c r="E288"/>
      <c r="F288">
        <v>20</v>
      </c>
      <c r="G288">
        <v>1</v>
      </c>
      <c r="H288">
        <v>0</v>
      </c>
      <c r="I288">
        <v>1</v>
      </c>
      <c r="J288"/>
      <c r="K288" s="1">
        <v>8</v>
      </c>
      <c r="L288" s="1">
        <v>0</v>
      </c>
      <c r="M288" s="1">
        <f t="shared" si="13"/>
        <v>8</v>
      </c>
      <c r="N288" s="11">
        <f t="shared" si="14"/>
        <v>8</v>
      </c>
      <c r="O288">
        <v>20</v>
      </c>
      <c r="P288"/>
      <c r="Q288"/>
      <c r="R288"/>
      <c r="S288"/>
      <c r="T288"/>
      <c r="U288" s="6"/>
      <c r="W288" s="8"/>
      <c r="X288" s="8"/>
      <c r="Y288" s="8"/>
      <c r="Z288" s="8"/>
      <c r="AA288" s="8"/>
    </row>
    <row r="289" spans="1:27" s="7" customFormat="1" ht="20" customHeight="1" x14ac:dyDescent="0.2">
      <c r="A289" t="s">
        <v>308</v>
      </c>
      <c r="B289" t="s">
        <v>277</v>
      </c>
      <c r="C289" t="s">
        <v>309</v>
      </c>
      <c r="D289" t="s">
        <v>34</v>
      </c>
      <c r="E289"/>
      <c r="F289">
        <v>20</v>
      </c>
      <c r="G289">
        <v>1</v>
      </c>
      <c r="H289">
        <v>0</v>
      </c>
      <c r="I289">
        <v>1</v>
      </c>
      <c r="J289"/>
      <c r="K289" s="1">
        <v>8</v>
      </c>
      <c r="L289" s="1">
        <v>0</v>
      </c>
      <c r="M289" s="1">
        <f t="shared" si="13"/>
        <v>8</v>
      </c>
      <c r="N289" s="11">
        <f t="shared" si="14"/>
        <v>8</v>
      </c>
      <c r="O289">
        <v>20</v>
      </c>
      <c r="P289"/>
      <c r="Q289"/>
      <c r="R289"/>
      <c r="S289"/>
      <c r="T289"/>
      <c r="U289" s="6"/>
      <c r="W289" s="8"/>
      <c r="X289" s="8"/>
      <c r="Y289" s="8"/>
      <c r="Z289" s="8"/>
      <c r="AA289" s="8"/>
    </row>
    <row r="290" spans="1:27" s="7" customFormat="1" ht="20" customHeight="1" x14ac:dyDescent="0.2">
      <c r="A290" t="s">
        <v>310</v>
      </c>
      <c r="B290" t="s">
        <v>277</v>
      </c>
      <c r="C290" t="s">
        <v>311</v>
      </c>
      <c r="D290" t="s">
        <v>34</v>
      </c>
      <c r="E290"/>
      <c r="F290">
        <v>20</v>
      </c>
      <c r="G290">
        <v>2</v>
      </c>
      <c r="H290">
        <v>0</v>
      </c>
      <c r="I290">
        <v>2</v>
      </c>
      <c r="J290"/>
      <c r="K290" s="1">
        <v>8</v>
      </c>
      <c r="L290" s="1">
        <v>0</v>
      </c>
      <c r="M290" s="1">
        <f t="shared" si="13"/>
        <v>8</v>
      </c>
      <c r="N290" s="11">
        <f t="shared" si="14"/>
        <v>16</v>
      </c>
      <c r="O290">
        <v>20</v>
      </c>
      <c r="P290"/>
      <c r="Q290"/>
      <c r="R290"/>
      <c r="S290"/>
      <c r="T290"/>
      <c r="U290" s="6"/>
      <c r="W290" s="8"/>
      <c r="X290" s="8"/>
      <c r="Y290" s="8"/>
      <c r="Z290" s="8"/>
      <c r="AA290" s="8"/>
    </row>
    <row r="291" spans="1:27" s="7" customFormat="1" ht="20" customHeight="1" x14ac:dyDescent="0.2">
      <c r="A291" t="s">
        <v>312</v>
      </c>
      <c r="B291" t="s">
        <v>277</v>
      </c>
      <c r="C291" t="s">
        <v>313</v>
      </c>
      <c r="D291" t="s">
        <v>34</v>
      </c>
      <c r="E291"/>
      <c r="F291">
        <v>20</v>
      </c>
      <c r="G291">
        <v>1</v>
      </c>
      <c r="H291">
        <v>0</v>
      </c>
      <c r="I291">
        <v>1</v>
      </c>
      <c r="J291"/>
      <c r="K291" s="1">
        <v>8</v>
      </c>
      <c r="L291" s="1">
        <v>0</v>
      </c>
      <c r="M291" s="1">
        <f t="shared" si="13"/>
        <v>8</v>
      </c>
      <c r="N291" s="11">
        <f t="shared" si="14"/>
        <v>8</v>
      </c>
      <c r="O291">
        <v>20</v>
      </c>
      <c r="P291"/>
      <c r="Q291"/>
      <c r="R291"/>
      <c r="S291"/>
      <c r="T291"/>
      <c r="U291" s="6"/>
      <c r="W291" s="8"/>
      <c r="X291" s="8"/>
      <c r="Y291" s="8"/>
      <c r="Z291" s="8"/>
      <c r="AA291" s="8"/>
    </row>
    <row r="292" spans="1:27" s="7" customFormat="1" ht="20" customHeight="1" x14ac:dyDescent="0.2">
      <c r="A292" t="s">
        <v>314</v>
      </c>
      <c r="B292" t="s">
        <v>315</v>
      </c>
      <c r="C292" t="s">
        <v>316</v>
      </c>
      <c r="D292" t="s">
        <v>27</v>
      </c>
      <c r="E292"/>
      <c r="F292">
        <v>20</v>
      </c>
      <c r="G292">
        <v>1</v>
      </c>
      <c r="H292">
        <v>0</v>
      </c>
      <c r="I292">
        <v>1</v>
      </c>
      <c r="J292"/>
      <c r="K292" s="1">
        <v>8</v>
      </c>
      <c r="L292" s="1">
        <v>0</v>
      </c>
      <c r="M292" s="1">
        <f t="shared" si="13"/>
        <v>8</v>
      </c>
      <c r="N292" s="11">
        <f t="shared" si="14"/>
        <v>8</v>
      </c>
      <c r="O292">
        <v>20</v>
      </c>
      <c r="P292"/>
      <c r="Q292"/>
      <c r="R292"/>
      <c r="S292"/>
      <c r="T292"/>
      <c r="U292" s="6"/>
      <c r="W292" s="8"/>
      <c r="X292" s="8"/>
      <c r="Y292" s="8"/>
      <c r="Z292" s="8"/>
      <c r="AA292" s="8"/>
    </row>
    <row r="293" spans="1:27" s="7" customFormat="1" ht="20" customHeight="1" x14ac:dyDescent="0.2">
      <c r="A293" t="s">
        <v>317</v>
      </c>
      <c r="B293" t="s">
        <v>277</v>
      </c>
      <c r="C293" t="s">
        <v>318</v>
      </c>
      <c r="D293" t="s">
        <v>17</v>
      </c>
      <c r="E293"/>
      <c r="F293">
        <v>20</v>
      </c>
      <c r="G293">
        <v>1</v>
      </c>
      <c r="H293">
        <v>0</v>
      </c>
      <c r="I293">
        <v>1</v>
      </c>
      <c r="J293"/>
      <c r="K293" s="1">
        <v>8</v>
      </c>
      <c r="L293" s="1">
        <v>0</v>
      </c>
      <c r="M293" s="1">
        <f t="shared" si="13"/>
        <v>8</v>
      </c>
      <c r="N293" s="11">
        <f t="shared" si="14"/>
        <v>8</v>
      </c>
      <c r="O293">
        <v>20</v>
      </c>
      <c r="P293"/>
      <c r="Q293"/>
      <c r="R293"/>
      <c r="S293"/>
      <c r="T293"/>
      <c r="U293" s="6"/>
      <c r="W293" s="8"/>
      <c r="X293" s="8"/>
      <c r="Y293" s="8"/>
      <c r="Z293" s="8"/>
      <c r="AA293" s="8"/>
    </row>
    <row r="294" spans="1:27" s="7" customFormat="1" ht="20" customHeight="1" x14ac:dyDescent="0.2">
      <c r="A294" t="s">
        <v>319</v>
      </c>
      <c r="B294" t="s">
        <v>277</v>
      </c>
      <c r="C294" t="s">
        <v>320</v>
      </c>
      <c r="D294" t="s">
        <v>17</v>
      </c>
      <c r="E294"/>
      <c r="F294">
        <v>20</v>
      </c>
      <c r="G294">
        <v>1</v>
      </c>
      <c r="H294">
        <v>0</v>
      </c>
      <c r="I294">
        <v>1</v>
      </c>
      <c r="J294"/>
      <c r="K294" s="1">
        <v>8</v>
      </c>
      <c r="L294" s="1">
        <v>0</v>
      </c>
      <c r="M294" s="1">
        <f t="shared" si="13"/>
        <v>8</v>
      </c>
      <c r="N294" s="11">
        <f t="shared" si="14"/>
        <v>8</v>
      </c>
      <c r="O294">
        <v>20</v>
      </c>
      <c r="P294"/>
      <c r="Q294"/>
      <c r="R294"/>
      <c r="S294"/>
      <c r="T294"/>
      <c r="U294" s="6"/>
      <c r="W294" s="8"/>
      <c r="X294" s="8"/>
      <c r="Y294" s="8"/>
      <c r="Z294" s="8"/>
      <c r="AA294" s="8"/>
    </row>
    <row r="295" spans="1:27" s="7" customFormat="1" ht="20" customHeight="1" x14ac:dyDescent="0.2">
      <c r="A295" t="s">
        <v>321</v>
      </c>
      <c r="B295" t="s">
        <v>277</v>
      </c>
      <c r="C295" t="s">
        <v>322</v>
      </c>
      <c r="D295" t="s">
        <v>17</v>
      </c>
      <c r="E295"/>
      <c r="F295">
        <v>21</v>
      </c>
      <c r="G295">
        <v>1</v>
      </c>
      <c r="H295">
        <v>0</v>
      </c>
      <c r="I295">
        <v>1</v>
      </c>
      <c r="J295"/>
      <c r="K295" s="1">
        <v>8</v>
      </c>
      <c r="L295" s="1">
        <v>0</v>
      </c>
      <c r="M295" s="1">
        <f t="shared" si="13"/>
        <v>8</v>
      </c>
      <c r="N295" s="11">
        <f t="shared" si="14"/>
        <v>8</v>
      </c>
      <c r="O295">
        <v>20</v>
      </c>
      <c r="P295"/>
      <c r="Q295"/>
      <c r="R295"/>
      <c r="S295"/>
      <c r="T295"/>
      <c r="U295" s="6"/>
      <c r="W295" s="8"/>
      <c r="X295" s="8"/>
      <c r="Y295" s="8"/>
      <c r="Z295" s="8"/>
      <c r="AA295" s="8"/>
    </row>
    <row r="296" spans="1:27" x14ac:dyDescent="0.2">
      <c r="B296" t="s">
        <v>282</v>
      </c>
      <c r="C296" t="s">
        <v>323</v>
      </c>
      <c r="D296" t="s">
        <v>97</v>
      </c>
      <c r="G296">
        <v>1</v>
      </c>
      <c r="H296">
        <v>0</v>
      </c>
      <c r="I296">
        <v>1</v>
      </c>
      <c r="L296" s="1">
        <v>0</v>
      </c>
      <c r="M296" s="1">
        <f t="shared" si="13"/>
        <v>0</v>
      </c>
      <c r="N296" s="11">
        <f t="shared" si="14"/>
        <v>0</v>
      </c>
    </row>
    <row r="297" spans="1:27" x14ac:dyDescent="0.2">
      <c r="B297" t="s">
        <v>285</v>
      </c>
      <c r="C297" t="s">
        <v>324</v>
      </c>
      <c r="D297" t="s">
        <v>91</v>
      </c>
      <c r="G297">
        <v>1</v>
      </c>
      <c r="H297">
        <v>0</v>
      </c>
      <c r="I297">
        <v>1</v>
      </c>
      <c r="L297" s="1">
        <v>0</v>
      </c>
      <c r="M297" s="1">
        <f t="shared" si="13"/>
        <v>0</v>
      </c>
      <c r="N297" s="11">
        <f t="shared" si="14"/>
        <v>0</v>
      </c>
    </row>
    <row r="298" spans="1:27" x14ac:dyDescent="0.2">
      <c r="B298" t="s">
        <v>285</v>
      </c>
      <c r="C298" t="s">
        <v>325</v>
      </c>
      <c r="D298" t="s">
        <v>91</v>
      </c>
      <c r="G298">
        <v>1</v>
      </c>
      <c r="H298">
        <v>0</v>
      </c>
      <c r="I298">
        <v>1</v>
      </c>
      <c r="L298" s="1">
        <v>0</v>
      </c>
      <c r="M298" s="1">
        <f t="shared" si="13"/>
        <v>0</v>
      </c>
      <c r="N298" s="11">
        <f t="shared" si="14"/>
        <v>0</v>
      </c>
    </row>
    <row r="299" spans="1:27" x14ac:dyDescent="0.2">
      <c r="B299" t="s">
        <v>285</v>
      </c>
      <c r="C299" t="s">
        <v>326</v>
      </c>
      <c r="D299" t="s">
        <v>91</v>
      </c>
      <c r="G299">
        <v>2</v>
      </c>
      <c r="H299">
        <v>0</v>
      </c>
      <c r="I299">
        <v>2</v>
      </c>
      <c r="L299" s="1">
        <v>0</v>
      </c>
      <c r="M299" s="1">
        <f t="shared" si="13"/>
        <v>0</v>
      </c>
      <c r="N299" s="11">
        <f t="shared" si="14"/>
        <v>0</v>
      </c>
    </row>
    <row r="300" spans="1:27" x14ac:dyDescent="0.2">
      <c r="B300" t="s">
        <v>285</v>
      </c>
      <c r="C300" t="s">
        <v>327</v>
      </c>
      <c r="D300" t="s">
        <v>95</v>
      </c>
      <c r="G300">
        <v>1</v>
      </c>
      <c r="H300">
        <v>0</v>
      </c>
      <c r="I300">
        <v>1</v>
      </c>
      <c r="L300" s="1">
        <v>0</v>
      </c>
      <c r="M300" s="1">
        <f t="shared" si="13"/>
        <v>0</v>
      </c>
      <c r="N300" s="11">
        <f t="shared" si="14"/>
        <v>0</v>
      </c>
    </row>
    <row r="301" spans="1:27" x14ac:dyDescent="0.2">
      <c r="B301" t="s">
        <v>285</v>
      </c>
      <c r="C301" t="s">
        <v>328</v>
      </c>
      <c r="D301" t="s">
        <v>91</v>
      </c>
      <c r="G301">
        <v>1</v>
      </c>
      <c r="H301">
        <v>0</v>
      </c>
      <c r="I301">
        <v>1</v>
      </c>
      <c r="L301" s="1">
        <v>0</v>
      </c>
      <c r="M301" s="1">
        <f t="shared" si="13"/>
        <v>0</v>
      </c>
      <c r="N301" s="11">
        <f t="shared" si="14"/>
        <v>0</v>
      </c>
    </row>
    <row r="302" spans="1:27" x14ac:dyDescent="0.2">
      <c r="B302" t="s">
        <v>282</v>
      </c>
      <c r="C302" t="s">
        <v>326</v>
      </c>
      <c r="D302" t="s">
        <v>97</v>
      </c>
      <c r="G302">
        <v>3</v>
      </c>
      <c r="H302">
        <v>0</v>
      </c>
      <c r="I302">
        <v>3</v>
      </c>
      <c r="L302" s="1">
        <v>0</v>
      </c>
      <c r="M302" s="1">
        <f t="shared" si="13"/>
        <v>0</v>
      </c>
      <c r="N302" s="11">
        <f t="shared" si="14"/>
        <v>0</v>
      </c>
    </row>
    <row r="303" spans="1:27" x14ac:dyDescent="0.2">
      <c r="B303" t="s">
        <v>285</v>
      </c>
      <c r="C303" t="s">
        <v>329</v>
      </c>
      <c r="D303" t="s">
        <v>91</v>
      </c>
      <c r="G303">
        <v>1</v>
      </c>
      <c r="H303">
        <v>0</v>
      </c>
      <c r="I303">
        <v>1</v>
      </c>
      <c r="L303" s="1">
        <v>0</v>
      </c>
      <c r="M303" s="1">
        <f t="shared" si="13"/>
        <v>0</v>
      </c>
      <c r="N303" s="11">
        <f t="shared" si="14"/>
        <v>0</v>
      </c>
    </row>
    <row r="304" spans="1:27" x14ac:dyDescent="0.2">
      <c r="B304" t="s">
        <v>277</v>
      </c>
      <c r="C304" t="s">
        <v>330</v>
      </c>
      <c r="D304" t="s">
        <v>34</v>
      </c>
      <c r="G304">
        <v>1</v>
      </c>
      <c r="H304">
        <v>0</v>
      </c>
      <c r="I304">
        <v>1</v>
      </c>
      <c r="L304" s="1">
        <v>0</v>
      </c>
      <c r="M304" s="1">
        <f t="shared" si="13"/>
        <v>0</v>
      </c>
      <c r="N304" s="11">
        <f t="shared" si="14"/>
        <v>0</v>
      </c>
    </row>
    <row r="305" spans="2:14" x14ac:dyDescent="0.2">
      <c r="B305" t="s">
        <v>282</v>
      </c>
      <c r="C305" t="s">
        <v>331</v>
      </c>
      <c r="D305" t="s">
        <v>97</v>
      </c>
      <c r="G305">
        <v>1</v>
      </c>
      <c r="H305">
        <v>0</v>
      </c>
      <c r="I305">
        <v>1</v>
      </c>
      <c r="L305" s="1">
        <v>0</v>
      </c>
      <c r="M305" s="1">
        <f t="shared" si="13"/>
        <v>0</v>
      </c>
      <c r="N305" s="11">
        <f t="shared" si="14"/>
        <v>0</v>
      </c>
    </row>
    <row r="306" spans="2:14" x14ac:dyDescent="0.2">
      <c r="B306" t="s">
        <v>282</v>
      </c>
      <c r="C306" t="s">
        <v>329</v>
      </c>
      <c r="D306" t="s">
        <v>97</v>
      </c>
      <c r="G306">
        <v>2</v>
      </c>
      <c r="H306">
        <v>0</v>
      </c>
      <c r="I306">
        <v>2</v>
      </c>
      <c r="L306" s="1">
        <v>0</v>
      </c>
      <c r="M306" s="1">
        <f t="shared" si="13"/>
        <v>0</v>
      </c>
      <c r="N306" s="11">
        <f t="shared" si="14"/>
        <v>0</v>
      </c>
    </row>
    <row r="307" spans="2:14" x14ac:dyDescent="0.2">
      <c r="B307" t="s">
        <v>285</v>
      </c>
      <c r="C307" t="s">
        <v>332</v>
      </c>
      <c r="D307" t="s">
        <v>91</v>
      </c>
      <c r="G307">
        <v>1</v>
      </c>
      <c r="H307">
        <v>0</v>
      </c>
      <c r="I307">
        <v>1</v>
      </c>
      <c r="L307" s="1">
        <v>0</v>
      </c>
      <c r="M307" s="1">
        <f t="shared" si="13"/>
        <v>0</v>
      </c>
      <c r="N307" s="11">
        <f t="shared" si="14"/>
        <v>0</v>
      </c>
    </row>
    <row r="308" spans="2:14" x14ac:dyDescent="0.2">
      <c r="B308" t="s">
        <v>285</v>
      </c>
      <c r="C308" t="s">
        <v>333</v>
      </c>
      <c r="D308" t="s">
        <v>91</v>
      </c>
      <c r="G308">
        <v>1</v>
      </c>
      <c r="H308">
        <v>0</v>
      </c>
      <c r="I308">
        <v>1</v>
      </c>
      <c r="L308" s="1">
        <v>0</v>
      </c>
      <c r="M308" s="1">
        <f t="shared" si="13"/>
        <v>0</v>
      </c>
      <c r="N308" s="11">
        <f t="shared" si="14"/>
        <v>0</v>
      </c>
    </row>
    <row r="309" spans="2:14" x14ac:dyDescent="0.2">
      <c r="B309" t="s">
        <v>282</v>
      </c>
      <c r="C309" t="s">
        <v>334</v>
      </c>
      <c r="D309" t="s">
        <v>97</v>
      </c>
      <c r="G309">
        <v>1</v>
      </c>
      <c r="H309">
        <v>0</v>
      </c>
      <c r="I309">
        <v>1</v>
      </c>
      <c r="L309" s="1">
        <v>0</v>
      </c>
      <c r="M309" s="1">
        <f t="shared" si="13"/>
        <v>0</v>
      </c>
      <c r="N309" s="11">
        <f t="shared" si="14"/>
        <v>0</v>
      </c>
    </row>
    <row r="310" spans="2:14" x14ac:dyDescent="0.2">
      <c r="B310" t="s">
        <v>285</v>
      </c>
      <c r="C310" t="s">
        <v>335</v>
      </c>
      <c r="D310" t="s">
        <v>91</v>
      </c>
      <c r="G310">
        <v>1</v>
      </c>
      <c r="H310">
        <v>0</v>
      </c>
      <c r="I310">
        <v>1</v>
      </c>
      <c r="L310" s="1">
        <v>0</v>
      </c>
      <c r="M310" s="1">
        <f t="shared" si="13"/>
        <v>0</v>
      </c>
      <c r="N310" s="11">
        <f t="shared" si="14"/>
        <v>0</v>
      </c>
    </row>
    <row r="311" spans="2:14" x14ac:dyDescent="0.2">
      <c r="B311" t="s">
        <v>285</v>
      </c>
      <c r="C311" t="s">
        <v>336</v>
      </c>
      <c r="D311" t="s">
        <v>91</v>
      </c>
      <c r="G311">
        <v>1</v>
      </c>
      <c r="H311">
        <v>0</v>
      </c>
      <c r="I311">
        <v>1</v>
      </c>
      <c r="L311" s="1">
        <v>0</v>
      </c>
      <c r="M311" s="1">
        <f t="shared" si="13"/>
        <v>0</v>
      </c>
      <c r="N311" s="11">
        <f t="shared" si="14"/>
        <v>0</v>
      </c>
    </row>
    <row r="312" spans="2:14" x14ac:dyDescent="0.2">
      <c r="B312" t="s">
        <v>282</v>
      </c>
      <c r="C312" t="s">
        <v>337</v>
      </c>
      <c r="D312" t="s">
        <v>97</v>
      </c>
      <c r="G312">
        <v>2</v>
      </c>
      <c r="H312">
        <v>0</v>
      </c>
      <c r="I312">
        <v>2</v>
      </c>
      <c r="L312" s="1">
        <v>0</v>
      </c>
      <c r="M312" s="1">
        <f t="shared" si="13"/>
        <v>0</v>
      </c>
      <c r="N312" s="11">
        <f t="shared" si="14"/>
        <v>0</v>
      </c>
    </row>
    <row r="313" spans="2:14" x14ac:dyDescent="0.2">
      <c r="B313" t="s">
        <v>282</v>
      </c>
      <c r="C313" t="s">
        <v>328</v>
      </c>
      <c r="D313" t="s">
        <v>97</v>
      </c>
      <c r="G313">
        <v>1</v>
      </c>
      <c r="H313">
        <v>0</v>
      </c>
      <c r="I313">
        <v>1</v>
      </c>
      <c r="L313" s="1">
        <v>0</v>
      </c>
      <c r="M313" s="1">
        <f t="shared" si="13"/>
        <v>0</v>
      </c>
      <c r="N313" s="11">
        <f t="shared" si="14"/>
        <v>0</v>
      </c>
    </row>
    <row r="314" spans="2:14" x14ac:dyDescent="0.2">
      <c r="B314" t="s">
        <v>282</v>
      </c>
      <c r="C314" t="s">
        <v>338</v>
      </c>
      <c r="D314" t="s">
        <v>97</v>
      </c>
      <c r="G314">
        <v>1</v>
      </c>
      <c r="H314">
        <v>0</v>
      </c>
      <c r="I314">
        <v>1</v>
      </c>
      <c r="L314" s="1">
        <v>0</v>
      </c>
      <c r="M314" s="1">
        <f t="shared" si="13"/>
        <v>0</v>
      </c>
      <c r="N314" s="11">
        <f t="shared" si="14"/>
        <v>0</v>
      </c>
    </row>
    <row r="315" spans="2:14" x14ac:dyDescent="0.2">
      <c r="B315" t="s">
        <v>285</v>
      </c>
      <c r="C315" t="s">
        <v>339</v>
      </c>
      <c r="D315" t="s">
        <v>91</v>
      </c>
      <c r="G315">
        <v>1</v>
      </c>
      <c r="H315">
        <v>0</v>
      </c>
      <c r="I315">
        <v>1</v>
      </c>
      <c r="L315" s="1">
        <v>0</v>
      </c>
      <c r="M315" s="1">
        <f t="shared" si="13"/>
        <v>0</v>
      </c>
      <c r="N315" s="11">
        <f t="shared" si="14"/>
        <v>0</v>
      </c>
    </row>
    <row r="316" spans="2:14" x14ac:dyDescent="0.2">
      <c r="B316" t="s">
        <v>285</v>
      </c>
      <c r="C316" t="s">
        <v>340</v>
      </c>
      <c r="D316" t="s">
        <v>91</v>
      </c>
      <c r="G316">
        <v>1</v>
      </c>
      <c r="H316">
        <v>0</v>
      </c>
      <c r="I316">
        <v>1</v>
      </c>
      <c r="L316" s="1">
        <v>0</v>
      </c>
      <c r="M316" s="1">
        <f t="shared" si="13"/>
        <v>0</v>
      </c>
      <c r="N316" s="11">
        <f t="shared" si="14"/>
        <v>0</v>
      </c>
    </row>
    <row r="317" spans="2:14" x14ac:dyDescent="0.2">
      <c r="B317" t="s">
        <v>282</v>
      </c>
      <c r="C317" t="s">
        <v>341</v>
      </c>
      <c r="D317" t="s">
        <v>97</v>
      </c>
      <c r="G317">
        <v>1</v>
      </c>
      <c r="H317">
        <v>0</v>
      </c>
      <c r="I317">
        <v>1</v>
      </c>
      <c r="L317" s="1">
        <v>0</v>
      </c>
      <c r="M317" s="1">
        <f t="shared" si="13"/>
        <v>0</v>
      </c>
      <c r="N317" s="11">
        <f t="shared" si="14"/>
        <v>0</v>
      </c>
    </row>
    <row r="318" spans="2:14" x14ac:dyDescent="0.2">
      <c r="B318" t="s">
        <v>282</v>
      </c>
      <c r="C318" t="s">
        <v>342</v>
      </c>
      <c r="D318" t="s">
        <v>97</v>
      </c>
      <c r="G318">
        <v>3</v>
      </c>
      <c r="H318">
        <v>0</v>
      </c>
      <c r="I318">
        <v>3</v>
      </c>
      <c r="L318" s="1">
        <v>0</v>
      </c>
      <c r="M318" s="1">
        <f t="shared" si="13"/>
        <v>0</v>
      </c>
      <c r="N318" s="11">
        <f t="shared" si="14"/>
        <v>0</v>
      </c>
    </row>
    <row r="319" spans="2:14" x14ac:dyDescent="0.2">
      <c r="B319" t="s">
        <v>282</v>
      </c>
      <c r="C319" t="s">
        <v>343</v>
      </c>
      <c r="D319" t="s">
        <v>97</v>
      </c>
      <c r="G319">
        <v>2</v>
      </c>
      <c r="H319">
        <v>0</v>
      </c>
      <c r="I319">
        <v>2</v>
      </c>
      <c r="L319" s="1">
        <v>0</v>
      </c>
      <c r="M319" s="1">
        <f t="shared" si="13"/>
        <v>0</v>
      </c>
      <c r="N319" s="11">
        <f t="shared" si="14"/>
        <v>0</v>
      </c>
    </row>
    <row r="320" spans="2:14" x14ac:dyDescent="0.2">
      <c r="B320" t="s">
        <v>282</v>
      </c>
      <c r="C320" t="s">
        <v>344</v>
      </c>
      <c r="D320" t="s">
        <v>97</v>
      </c>
      <c r="G320">
        <v>5</v>
      </c>
      <c r="H320">
        <v>0</v>
      </c>
      <c r="I320">
        <v>5</v>
      </c>
      <c r="L320" s="1">
        <v>0</v>
      </c>
      <c r="M320" s="1">
        <f t="shared" si="13"/>
        <v>0</v>
      </c>
      <c r="N320" s="11">
        <f t="shared" si="14"/>
        <v>0</v>
      </c>
    </row>
    <row r="321" spans="2:14" x14ac:dyDescent="0.2">
      <c r="B321" t="s">
        <v>285</v>
      </c>
      <c r="C321" t="s">
        <v>345</v>
      </c>
      <c r="D321" t="s">
        <v>91</v>
      </c>
      <c r="G321">
        <v>1</v>
      </c>
      <c r="H321">
        <v>0</v>
      </c>
      <c r="I321">
        <v>1</v>
      </c>
      <c r="L321" s="1">
        <v>0</v>
      </c>
      <c r="M321" s="1">
        <f t="shared" si="13"/>
        <v>0</v>
      </c>
      <c r="N321" s="11">
        <f t="shared" si="14"/>
        <v>0</v>
      </c>
    </row>
    <row r="322" spans="2:14" x14ac:dyDescent="0.2">
      <c r="B322" t="s">
        <v>285</v>
      </c>
      <c r="C322" t="s">
        <v>346</v>
      </c>
      <c r="D322" t="s">
        <v>91</v>
      </c>
      <c r="G322">
        <v>1</v>
      </c>
      <c r="H322">
        <v>0</v>
      </c>
      <c r="I322">
        <v>1</v>
      </c>
      <c r="L322" s="1">
        <v>0</v>
      </c>
      <c r="M322" s="1">
        <f t="shared" ref="M322:M353" si="16">K322+L322</f>
        <v>0</v>
      </c>
      <c r="N322" s="11">
        <f t="shared" si="14"/>
        <v>0</v>
      </c>
    </row>
    <row r="323" spans="2:14" x14ac:dyDescent="0.2">
      <c r="B323" t="s">
        <v>285</v>
      </c>
      <c r="C323" t="s">
        <v>347</v>
      </c>
      <c r="D323" t="s">
        <v>91</v>
      </c>
      <c r="G323">
        <v>2</v>
      </c>
      <c r="H323">
        <v>0</v>
      </c>
      <c r="I323">
        <v>2</v>
      </c>
      <c r="L323" s="1">
        <v>0</v>
      </c>
      <c r="M323" s="1">
        <f t="shared" si="16"/>
        <v>0</v>
      </c>
      <c r="N323" s="11">
        <f t="shared" ref="N323:N386" si="17">G323*K323</f>
        <v>0</v>
      </c>
    </row>
    <row r="324" spans="2:14" x14ac:dyDescent="0.2">
      <c r="B324" t="s">
        <v>282</v>
      </c>
      <c r="C324" t="s">
        <v>348</v>
      </c>
      <c r="D324" t="s">
        <v>97</v>
      </c>
      <c r="G324">
        <v>1</v>
      </c>
      <c r="H324">
        <v>0</v>
      </c>
      <c r="I324">
        <v>1</v>
      </c>
      <c r="L324" s="1">
        <v>0</v>
      </c>
      <c r="M324" s="1">
        <f t="shared" si="16"/>
        <v>0</v>
      </c>
      <c r="N324" s="11">
        <f t="shared" si="17"/>
        <v>0</v>
      </c>
    </row>
    <row r="325" spans="2:14" x14ac:dyDescent="0.2">
      <c r="B325" t="s">
        <v>285</v>
      </c>
      <c r="C325" t="s">
        <v>349</v>
      </c>
      <c r="D325" t="s">
        <v>91</v>
      </c>
      <c r="G325">
        <v>1</v>
      </c>
      <c r="H325">
        <v>0</v>
      </c>
      <c r="I325">
        <v>1</v>
      </c>
      <c r="L325" s="1">
        <v>0</v>
      </c>
      <c r="M325" s="1">
        <f t="shared" si="16"/>
        <v>0</v>
      </c>
      <c r="N325" s="11">
        <f t="shared" si="17"/>
        <v>0</v>
      </c>
    </row>
    <row r="326" spans="2:14" x14ac:dyDescent="0.2">
      <c r="B326" t="s">
        <v>285</v>
      </c>
      <c r="C326" t="s">
        <v>350</v>
      </c>
      <c r="D326" t="s">
        <v>91</v>
      </c>
      <c r="G326">
        <v>1</v>
      </c>
      <c r="H326">
        <v>0</v>
      </c>
      <c r="I326">
        <v>1</v>
      </c>
      <c r="L326" s="1">
        <v>0</v>
      </c>
      <c r="M326" s="1">
        <f t="shared" si="16"/>
        <v>0</v>
      </c>
      <c r="N326" s="11">
        <f t="shared" si="17"/>
        <v>0</v>
      </c>
    </row>
    <row r="327" spans="2:14" x14ac:dyDescent="0.2">
      <c r="B327" t="s">
        <v>285</v>
      </c>
      <c r="C327" t="s">
        <v>351</v>
      </c>
      <c r="D327" t="s">
        <v>91</v>
      </c>
      <c r="G327">
        <v>1</v>
      </c>
      <c r="H327">
        <v>0</v>
      </c>
      <c r="I327">
        <v>1</v>
      </c>
      <c r="L327" s="1">
        <v>0</v>
      </c>
      <c r="M327" s="1">
        <f t="shared" si="16"/>
        <v>0</v>
      </c>
      <c r="N327" s="11">
        <f t="shared" si="17"/>
        <v>0</v>
      </c>
    </row>
    <row r="328" spans="2:14" x14ac:dyDescent="0.2">
      <c r="B328" t="s">
        <v>285</v>
      </c>
      <c r="C328" t="s">
        <v>352</v>
      </c>
      <c r="D328" t="s">
        <v>91</v>
      </c>
      <c r="G328">
        <v>1</v>
      </c>
      <c r="H328">
        <v>0</v>
      </c>
      <c r="I328">
        <v>1</v>
      </c>
      <c r="L328" s="1">
        <v>0</v>
      </c>
      <c r="M328" s="1">
        <f t="shared" si="16"/>
        <v>0</v>
      </c>
      <c r="N328" s="11">
        <f t="shared" si="17"/>
        <v>0</v>
      </c>
    </row>
    <row r="329" spans="2:14" x14ac:dyDescent="0.2">
      <c r="B329" t="s">
        <v>282</v>
      </c>
      <c r="C329" t="s">
        <v>353</v>
      </c>
      <c r="D329" t="s">
        <v>97</v>
      </c>
      <c r="G329">
        <v>2</v>
      </c>
      <c r="H329">
        <v>0</v>
      </c>
      <c r="I329">
        <v>2</v>
      </c>
      <c r="L329" s="1">
        <v>0</v>
      </c>
      <c r="M329" s="1">
        <f t="shared" si="16"/>
        <v>0</v>
      </c>
      <c r="N329" s="11">
        <f t="shared" si="17"/>
        <v>0</v>
      </c>
    </row>
    <row r="330" spans="2:14" x14ac:dyDescent="0.2">
      <c r="B330" t="s">
        <v>282</v>
      </c>
      <c r="C330" t="s">
        <v>354</v>
      </c>
      <c r="D330" t="s">
        <v>97</v>
      </c>
      <c r="G330">
        <v>1</v>
      </c>
      <c r="H330">
        <v>0</v>
      </c>
      <c r="I330">
        <v>1</v>
      </c>
      <c r="L330" s="1">
        <v>0</v>
      </c>
      <c r="M330" s="1">
        <f t="shared" si="16"/>
        <v>0</v>
      </c>
      <c r="N330" s="11">
        <f t="shared" si="17"/>
        <v>0</v>
      </c>
    </row>
    <row r="331" spans="2:14" x14ac:dyDescent="0.2">
      <c r="B331" t="s">
        <v>277</v>
      </c>
      <c r="C331" t="s">
        <v>355</v>
      </c>
      <c r="D331" t="s">
        <v>34</v>
      </c>
      <c r="G331">
        <v>1</v>
      </c>
      <c r="H331">
        <v>0</v>
      </c>
      <c r="I331">
        <v>1</v>
      </c>
      <c r="L331" s="1">
        <v>0</v>
      </c>
      <c r="M331" s="1">
        <f t="shared" si="16"/>
        <v>0</v>
      </c>
      <c r="N331" s="11">
        <f t="shared" si="17"/>
        <v>0</v>
      </c>
    </row>
    <row r="332" spans="2:14" x14ac:dyDescent="0.2">
      <c r="B332" t="s">
        <v>277</v>
      </c>
      <c r="C332" t="s">
        <v>356</v>
      </c>
      <c r="D332" t="s">
        <v>34</v>
      </c>
      <c r="G332">
        <v>1</v>
      </c>
      <c r="H332">
        <v>0</v>
      </c>
      <c r="I332">
        <v>1</v>
      </c>
      <c r="L332" s="1">
        <v>0</v>
      </c>
      <c r="M332" s="1">
        <f t="shared" si="16"/>
        <v>0</v>
      </c>
      <c r="N332" s="11">
        <f t="shared" si="17"/>
        <v>0</v>
      </c>
    </row>
    <row r="333" spans="2:14" x14ac:dyDescent="0.2">
      <c r="B333" t="s">
        <v>285</v>
      </c>
      <c r="C333" t="s">
        <v>357</v>
      </c>
      <c r="D333" t="s">
        <v>91</v>
      </c>
      <c r="G333">
        <v>1</v>
      </c>
      <c r="H333">
        <v>0</v>
      </c>
      <c r="I333">
        <v>1</v>
      </c>
      <c r="L333" s="1">
        <v>0</v>
      </c>
      <c r="M333" s="1">
        <f t="shared" si="16"/>
        <v>0</v>
      </c>
      <c r="N333" s="11">
        <f t="shared" si="17"/>
        <v>0</v>
      </c>
    </row>
    <row r="334" spans="2:14" x14ac:dyDescent="0.2">
      <c r="B334" t="s">
        <v>282</v>
      </c>
      <c r="C334" t="s">
        <v>332</v>
      </c>
      <c r="D334" t="s">
        <v>97</v>
      </c>
      <c r="G334">
        <v>4</v>
      </c>
      <c r="H334">
        <v>0</v>
      </c>
      <c r="I334">
        <v>4</v>
      </c>
      <c r="L334" s="1">
        <v>0</v>
      </c>
      <c r="M334" s="1">
        <f t="shared" si="16"/>
        <v>0</v>
      </c>
      <c r="N334" s="11">
        <f t="shared" si="17"/>
        <v>0</v>
      </c>
    </row>
    <row r="335" spans="2:14" x14ac:dyDescent="0.2">
      <c r="B335" t="s">
        <v>282</v>
      </c>
      <c r="C335" t="s">
        <v>340</v>
      </c>
      <c r="D335" t="s">
        <v>97</v>
      </c>
      <c r="G335">
        <v>1</v>
      </c>
      <c r="H335">
        <v>0</v>
      </c>
      <c r="I335">
        <v>1</v>
      </c>
      <c r="L335" s="1">
        <v>0</v>
      </c>
      <c r="M335" s="1">
        <f t="shared" si="16"/>
        <v>0</v>
      </c>
      <c r="N335" s="11">
        <f t="shared" si="17"/>
        <v>0</v>
      </c>
    </row>
    <row r="336" spans="2:14" x14ac:dyDescent="0.2">
      <c r="B336" t="s">
        <v>285</v>
      </c>
      <c r="C336" t="s">
        <v>358</v>
      </c>
      <c r="D336" t="s">
        <v>91</v>
      </c>
      <c r="G336">
        <v>2</v>
      </c>
      <c r="H336">
        <v>0</v>
      </c>
      <c r="I336">
        <v>2</v>
      </c>
      <c r="L336" s="1">
        <v>0</v>
      </c>
      <c r="M336" s="1">
        <f t="shared" si="16"/>
        <v>0</v>
      </c>
      <c r="N336" s="11">
        <f t="shared" si="17"/>
        <v>0</v>
      </c>
    </row>
    <row r="337" spans="2:14" x14ac:dyDescent="0.2">
      <c r="B337" t="s">
        <v>285</v>
      </c>
      <c r="C337" t="s">
        <v>345</v>
      </c>
      <c r="D337" t="s">
        <v>95</v>
      </c>
      <c r="G337">
        <v>2</v>
      </c>
      <c r="H337">
        <v>1</v>
      </c>
      <c r="I337">
        <v>1</v>
      </c>
      <c r="L337" s="1">
        <v>0</v>
      </c>
      <c r="M337" s="1">
        <f t="shared" si="16"/>
        <v>0</v>
      </c>
      <c r="N337" s="11">
        <f t="shared" si="17"/>
        <v>0</v>
      </c>
    </row>
    <row r="338" spans="2:14" x14ac:dyDescent="0.2">
      <c r="B338" t="s">
        <v>285</v>
      </c>
      <c r="C338" t="s">
        <v>343</v>
      </c>
      <c r="D338" t="s">
        <v>95</v>
      </c>
      <c r="G338">
        <v>2</v>
      </c>
      <c r="H338">
        <v>2</v>
      </c>
      <c r="I338">
        <v>0</v>
      </c>
      <c r="L338" s="1">
        <v>0</v>
      </c>
      <c r="M338" s="1">
        <f t="shared" si="16"/>
        <v>0</v>
      </c>
      <c r="N338" s="11">
        <f t="shared" si="17"/>
        <v>0</v>
      </c>
    </row>
    <row r="339" spans="2:14" x14ac:dyDescent="0.2">
      <c r="B339" t="s">
        <v>285</v>
      </c>
      <c r="C339" t="s">
        <v>359</v>
      </c>
      <c r="D339" t="s">
        <v>91</v>
      </c>
      <c r="G339">
        <v>1</v>
      </c>
      <c r="H339">
        <v>0</v>
      </c>
      <c r="I339">
        <v>1</v>
      </c>
      <c r="L339" s="1">
        <v>0</v>
      </c>
      <c r="M339" s="1">
        <f t="shared" si="16"/>
        <v>0</v>
      </c>
      <c r="N339" s="11">
        <f t="shared" si="17"/>
        <v>0</v>
      </c>
    </row>
    <row r="340" spans="2:14" x14ac:dyDescent="0.2">
      <c r="B340" t="s">
        <v>285</v>
      </c>
      <c r="C340" t="s">
        <v>360</v>
      </c>
      <c r="D340" t="s">
        <v>239</v>
      </c>
      <c r="G340">
        <v>1</v>
      </c>
      <c r="H340">
        <v>1</v>
      </c>
      <c r="I340">
        <v>0</v>
      </c>
      <c r="L340" s="1">
        <v>0</v>
      </c>
      <c r="M340" s="1">
        <f t="shared" si="16"/>
        <v>0</v>
      </c>
      <c r="N340" s="11">
        <f t="shared" si="17"/>
        <v>0</v>
      </c>
    </row>
    <row r="341" spans="2:14" x14ac:dyDescent="0.2">
      <c r="B341" t="s">
        <v>285</v>
      </c>
      <c r="C341" t="s">
        <v>361</v>
      </c>
      <c r="D341" t="s">
        <v>95</v>
      </c>
      <c r="G341">
        <v>1</v>
      </c>
      <c r="H341">
        <v>0</v>
      </c>
      <c r="I341">
        <v>1</v>
      </c>
      <c r="L341" s="1">
        <v>0</v>
      </c>
      <c r="M341" s="1">
        <f t="shared" si="16"/>
        <v>0</v>
      </c>
      <c r="N341" s="11">
        <f t="shared" si="17"/>
        <v>0</v>
      </c>
    </row>
    <row r="342" spans="2:14" x14ac:dyDescent="0.2">
      <c r="B342" t="s">
        <v>285</v>
      </c>
      <c r="C342" t="s">
        <v>362</v>
      </c>
      <c r="D342" t="s">
        <v>237</v>
      </c>
      <c r="G342">
        <v>1</v>
      </c>
      <c r="H342">
        <v>0</v>
      </c>
      <c r="I342">
        <v>1</v>
      </c>
      <c r="L342" s="1">
        <v>0</v>
      </c>
      <c r="M342" s="1">
        <f t="shared" si="16"/>
        <v>0</v>
      </c>
      <c r="N342" s="11">
        <f t="shared" si="17"/>
        <v>0</v>
      </c>
    </row>
    <row r="343" spans="2:14" x14ac:dyDescent="0.2">
      <c r="B343" t="s">
        <v>282</v>
      </c>
      <c r="C343" t="s">
        <v>335</v>
      </c>
      <c r="D343" t="s">
        <v>97</v>
      </c>
      <c r="G343">
        <v>1</v>
      </c>
      <c r="H343">
        <v>0</v>
      </c>
      <c r="I343">
        <v>1</v>
      </c>
      <c r="L343" s="1">
        <v>0</v>
      </c>
      <c r="M343" s="1">
        <f t="shared" si="16"/>
        <v>0</v>
      </c>
      <c r="N343" s="11">
        <f t="shared" si="17"/>
        <v>0</v>
      </c>
    </row>
    <row r="344" spans="2:14" x14ac:dyDescent="0.2">
      <c r="B344" t="s">
        <v>285</v>
      </c>
      <c r="C344" t="s">
        <v>363</v>
      </c>
      <c r="D344" t="s">
        <v>91</v>
      </c>
      <c r="G344">
        <v>1</v>
      </c>
      <c r="H344">
        <v>0</v>
      </c>
      <c r="I344">
        <v>1</v>
      </c>
      <c r="L344" s="1">
        <v>0</v>
      </c>
      <c r="M344" s="1">
        <f t="shared" si="16"/>
        <v>0</v>
      </c>
      <c r="N344" s="11">
        <f t="shared" si="17"/>
        <v>0</v>
      </c>
    </row>
    <row r="345" spans="2:14" x14ac:dyDescent="0.2">
      <c r="B345" t="s">
        <v>285</v>
      </c>
      <c r="C345" t="s">
        <v>364</v>
      </c>
      <c r="D345" t="s">
        <v>91</v>
      </c>
      <c r="G345">
        <v>1</v>
      </c>
      <c r="H345">
        <v>0</v>
      </c>
      <c r="I345">
        <v>1</v>
      </c>
      <c r="L345" s="1">
        <v>0</v>
      </c>
      <c r="M345" s="1">
        <f t="shared" si="16"/>
        <v>0</v>
      </c>
      <c r="N345" s="11">
        <f t="shared" si="17"/>
        <v>0</v>
      </c>
    </row>
    <row r="346" spans="2:14" x14ac:dyDescent="0.2">
      <c r="B346" t="s">
        <v>285</v>
      </c>
      <c r="C346" t="s">
        <v>365</v>
      </c>
      <c r="D346" t="s">
        <v>95</v>
      </c>
      <c r="G346">
        <v>1</v>
      </c>
      <c r="H346">
        <v>0</v>
      </c>
      <c r="I346">
        <v>1</v>
      </c>
      <c r="L346" s="1">
        <v>0</v>
      </c>
      <c r="M346" s="1">
        <f t="shared" si="16"/>
        <v>0</v>
      </c>
      <c r="N346" s="11">
        <f t="shared" si="17"/>
        <v>0</v>
      </c>
    </row>
    <row r="347" spans="2:14" x14ac:dyDescent="0.2">
      <c r="B347" t="s">
        <v>285</v>
      </c>
      <c r="C347" t="s">
        <v>366</v>
      </c>
      <c r="D347" t="s">
        <v>91</v>
      </c>
      <c r="G347">
        <v>1</v>
      </c>
      <c r="H347">
        <v>0</v>
      </c>
      <c r="I347">
        <v>1</v>
      </c>
      <c r="L347" s="1">
        <v>0</v>
      </c>
      <c r="M347" s="1">
        <f t="shared" si="16"/>
        <v>0</v>
      </c>
      <c r="N347" s="11">
        <f t="shared" si="17"/>
        <v>0</v>
      </c>
    </row>
    <row r="348" spans="2:14" x14ac:dyDescent="0.2">
      <c r="B348" t="s">
        <v>285</v>
      </c>
      <c r="C348" t="s">
        <v>367</v>
      </c>
      <c r="D348" t="s">
        <v>91</v>
      </c>
      <c r="G348">
        <v>1</v>
      </c>
      <c r="H348">
        <v>0</v>
      </c>
      <c r="I348">
        <v>1</v>
      </c>
      <c r="L348" s="1">
        <v>0</v>
      </c>
      <c r="M348" s="1">
        <f t="shared" si="16"/>
        <v>0</v>
      </c>
      <c r="N348" s="11">
        <f t="shared" si="17"/>
        <v>0</v>
      </c>
    </row>
    <row r="349" spans="2:14" x14ac:dyDescent="0.2">
      <c r="B349" t="s">
        <v>285</v>
      </c>
      <c r="C349" t="s">
        <v>368</v>
      </c>
      <c r="D349" t="s">
        <v>91</v>
      </c>
      <c r="G349">
        <v>1</v>
      </c>
      <c r="H349">
        <v>0</v>
      </c>
      <c r="I349">
        <v>1</v>
      </c>
      <c r="L349" s="1">
        <v>0</v>
      </c>
      <c r="M349" s="1">
        <f t="shared" si="16"/>
        <v>0</v>
      </c>
      <c r="N349" s="11">
        <f t="shared" si="17"/>
        <v>0</v>
      </c>
    </row>
    <row r="350" spans="2:14" x14ac:dyDescent="0.2">
      <c r="B350" t="s">
        <v>282</v>
      </c>
      <c r="C350" t="s">
        <v>369</v>
      </c>
      <c r="D350" t="s">
        <v>97</v>
      </c>
      <c r="G350">
        <v>1</v>
      </c>
      <c r="H350">
        <v>0</v>
      </c>
      <c r="I350">
        <v>1</v>
      </c>
      <c r="L350" s="1">
        <v>0</v>
      </c>
      <c r="M350" s="1">
        <f t="shared" si="16"/>
        <v>0</v>
      </c>
      <c r="N350" s="11">
        <f t="shared" si="17"/>
        <v>0</v>
      </c>
    </row>
    <row r="351" spans="2:14" x14ac:dyDescent="0.2">
      <c r="B351" t="s">
        <v>282</v>
      </c>
      <c r="C351" t="s">
        <v>370</v>
      </c>
      <c r="D351" t="s">
        <v>97</v>
      </c>
      <c r="G351">
        <v>1</v>
      </c>
      <c r="H351">
        <v>0</v>
      </c>
      <c r="I351">
        <v>1</v>
      </c>
      <c r="L351" s="1">
        <v>0</v>
      </c>
      <c r="M351" s="1">
        <f t="shared" si="16"/>
        <v>0</v>
      </c>
      <c r="N351" s="11">
        <f t="shared" si="17"/>
        <v>0</v>
      </c>
    </row>
    <row r="352" spans="2:14" x14ac:dyDescent="0.2">
      <c r="B352" t="s">
        <v>282</v>
      </c>
      <c r="C352" t="s">
        <v>371</v>
      </c>
      <c r="D352" t="s">
        <v>97</v>
      </c>
      <c r="G352">
        <v>2</v>
      </c>
      <c r="H352">
        <v>0</v>
      </c>
      <c r="I352">
        <v>2</v>
      </c>
      <c r="L352" s="1">
        <v>0</v>
      </c>
      <c r="M352" s="1">
        <f t="shared" si="16"/>
        <v>0</v>
      </c>
      <c r="N352" s="11">
        <f t="shared" si="17"/>
        <v>0</v>
      </c>
    </row>
    <row r="353" spans="2:14" x14ac:dyDescent="0.2">
      <c r="B353" t="s">
        <v>93</v>
      </c>
      <c r="C353" t="s">
        <v>372</v>
      </c>
      <c r="D353" t="s">
        <v>91</v>
      </c>
      <c r="G353">
        <v>4</v>
      </c>
      <c r="H353">
        <v>2</v>
      </c>
      <c r="I353">
        <v>2</v>
      </c>
      <c r="K353" s="1">
        <v>14.99</v>
      </c>
      <c r="L353" s="1">
        <v>3.65</v>
      </c>
      <c r="M353" s="1">
        <f t="shared" si="16"/>
        <v>18.64</v>
      </c>
      <c r="N353" s="11">
        <f t="shared" si="17"/>
        <v>59.96</v>
      </c>
    </row>
    <row r="354" spans="2:14" x14ac:dyDescent="0.2">
      <c r="B354" t="s">
        <v>96</v>
      </c>
      <c r="C354" t="s">
        <v>372</v>
      </c>
      <c r="D354" t="s">
        <v>97</v>
      </c>
      <c r="G354">
        <v>5</v>
      </c>
      <c r="H354">
        <v>2</v>
      </c>
      <c r="I354">
        <v>3</v>
      </c>
      <c r="K354" s="1">
        <v>14.99</v>
      </c>
      <c r="L354" s="1">
        <v>3.65</v>
      </c>
      <c r="M354" s="1">
        <f t="shared" ref="M354:M386" si="18">K354+L354</f>
        <v>18.64</v>
      </c>
      <c r="N354" s="11">
        <f t="shared" si="17"/>
        <v>74.95</v>
      </c>
    </row>
    <row r="355" spans="2:14" x14ac:dyDescent="0.2">
      <c r="B355" t="s">
        <v>99</v>
      </c>
      <c r="C355" t="s">
        <v>372</v>
      </c>
      <c r="D355" t="s">
        <v>34</v>
      </c>
      <c r="G355">
        <v>4</v>
      </c>
      <c r="H355">
        <v>2</v>
      </c>
      <c r="I355">
        <v>2</v>
      </c>
      <c r="K355" s="1">
        <v>14.99</v>
      </c>
      <c r="L355" s="1">
        <v>3.65</v>
      </c>
      <c r="M355" s="1">
        <f t="shared" si="18"/>
        <v>18.64</v>
      </c>
      <c r="N355" s="11">
        <f t="shared" si="17"/>
        <v>59.96</v>
      </c>
    </row>
    <row r="356" spans="2:14" x14ac:dyDescent="0.2">
      <c r="B356" t="s">
        <v>93</v>
      </c>
      <c r="C356" t="s">
        <v>373</v>
      </c>
      <c r="D356" t="s">
        <v>91</v>
      </c>
      <c r="G356">
        <v>4</v>
      </c>
      <c r="H356">
        <v>4</v>
      </c>
      <c r="I356">
        <v>0</v>
      </c>
      <c r="K356" s="1">
        <v>12.99</v>
      </c>
      <c r="L356" s="1">
        <v>3.65</v>
      </c>
      <c r="M356" s="1">
        <f t="shared" si="18"/>
        <v>16.64</v>
      </c>
      <c r="N356" s="11">
        <f t="shared" si="17"/>
        <v>51.96</v>
      </c>
    </row>
    <row r="357" spans="2:14" x14ac:dyDescent="0.2">
      <c r="B357" t="s">
        <v>96</v>
      </c>
      <c r="C357" t="s">
        <v>373</v>
      </c>
      <c r="D357" t="s">
        <v>97</v>
      </c>
      <c r="G357">
        <v>4</v>
      </c>
      <c r="H357">
        <v>4</v>
      </c>
      <c r="I357">
        <v>0</v>
      </c>
      <c r="K357" s="1">
        <v>12.99</v>
      </c>
      <c r="L357" s="1">
        <v>3.65</v>
      </c>
      <c r="M357" s="1">
        <f t="shared" si="18"/>
        <v>16.64</v>
      </c>
      <c r="N357" s="11">
        <f t="shared" si="17"/>
        <v>51.96</v>
      </c>
    </row>
    <row r="358" spans="2:14" x14ac:dyDescent="0.2">
      <c r="B358" t="s">
        <v>99</v>
      </c>
      <c r="C358" t="s">
        <v>373</v>
      </c>
      <c r="D358" t="s">
        <v>34</v>
      </c>
      <c r="G358">
        <v>4</v>
      </c>
      <c r="H358">
        <v>4</v>
      </c>
      <c r="I358">
        <v>0</v>
      </c>
      <c r="K358" s="1">
        <v>12.99</v>
      </c>
      <c r="L358" s="1">
        <v>3.65</v>
      </c>
      <c r="M358" s="1">
        <f t="shared" si="18"/>
        <v>16.64</v>
      </c>
      <c r="N358" s="11">
        <f t="shared" si="17"/>
        <v>51.96</v>
      </c>
    </row>
    <row r="359" spans="2:14" x14ac:dyDescent="0.2">
      <c r="B359" t="s">
        <v>96</v>
      </c>
      <c r="C359" t="s">
        <v>374</v>
      </c>
      <c r="D359" t="s">
        <v>97</v>
      </c>
      <c r="G359">
        <v>3</v>
      </c>
      <c r="H359">
        <v>2</v>
      </c>
      <c r="I359">
        <v>1</v>
      </c>
      <c r="K359" s="1">
        <v>11.99</v>
      </c>
      <c r="L359" s="1">
        <v>3.65</v>
      </c>
      <c r="M359" s="1">
        <f t="shared" si="18"/>
        <v>15.64</v>
      </c>
      <c r="N359" s="11">
        <f t="shared" si="17"/>
        <v>35.97</v>
      </c>
    </row>
    <row r="360" spans="2:14" x14ac:dyDescent="0.2">
      <c r="B360" t="s">
        <v>93</v>
      </c>
      <c r="C360" t="s">
        <v>374</v>
      </c>
      <c r="D360" t="s">
        <v>91</v>
      </c>
      <c r="G360">
        <v>2</v>
      </c>
      <c r="H360">
        <v>2</v>
      </c>
      <c r="I360">
        <v>0</v>
      </c>
      <c r="K360" s="1">
        <v>11.99</v>
      </c>
      <c r="L360" s="1">
        <v>3.65</v>
      </c>
      <c r="M360" s="1">
        <f t="shared" si="18"/>
        <v>15.64</v>
      </c>
      <c r="N360" s="11">
        <f t="shared" si="17"/>
        <v>23.98</v>
      </c>
    </row>
    <row r="361" spans="2:14" x14ac:dyDescent="0.2">
      <c r="B361" t="s">
        <v>93</v>
      </c>
      <c r="C361" t="s">
        <v>375</v>
      </c>
      <c r="D361" t="s">
        <v>91</v>
      </c>
      <c r="G361">
        <v>3</v>
      </c>
      <c r="H361">
        <v>3</v>
      </c>
      <c r="I361">
        <v>0</v>
      </c>
      <c r="K361" s="1">
        <v>11.99</v>
      </c>
      <c r="L361" s="1">
        <v>3.65</v>
      </c>
      <c r="M361" s="1">
        <f t="shared" si="18"/>
        <v>15.64</v>
      </c>
      <c r="N361" s="11">
        <f t="shared" si="17"/>
        <v>35.97</v>
      </c>
    </row>
    <row r="362" spans="2:14" x14ac:dyDescent="0.2">
      <c r="B362" t="s">
        <v>96</v>
      </c>
      <c r="C362" t="s">
        <v>375</v>
      </c>
      <c r="D362" t="s">
        <v>97</v>
      </c>
      <c r="G362">
        <v>3</v>
      </c>
      <c r="H362">
        <v>3</v>
      </c>
      <c r="I362">
        <v>0</v>
      </c>
      <c r="K362" s="1">
        <v>11.99</v>
      </c>
      <c r="L362" s="1">
        <v>3.65</v>
      </c>
      <c r="M362" s="1">
        <f t="shared" si="18"/>
        <v>15.64</v>
      </c>
      <c r="N362" s="11">
        <f t="shared" si="17"/>
        <v>35.97</v>
      </c>
    </row>
    <row r="363" spans="2:14" x14ac:dyDescent="0.2">
      <c r="B363" t="s">
        <v>99</v>
      </c>
      <c r="C363" t="s">
        <v>375</v>
      </c>
      <c r="D363" t="s">
        <v>34</v>
      </c>
      <c r="G363">
        <v>3</v>
      </c>
      <c r="H363">
        <v>0</v>
      </c>
      <c r="I363">
        <v>3</v>
      </c>
      <c r="K363" s="1">
        <v>11.99</v>
      </c>
      <c r="L363" s="1">
        <v>3.65</v>
      </c>
      <c r="M363" s="1">
        <f t="shared" si="18"/>
        <v>15.64</v>
      </c>
      <c r="N363" s="11">
        <f t="shared" si="17"/>
        <v>35.97</v>
      </c>
    </row>
    <row r="364" spans="2:14" x14ac:dyDescent="0.2">
      <c r="B364" t="s">
        <v>99</v>
      </c>
      <c r="C364" t="s">
        <v>376</v>
      </c>
      <c r="D364" t="s">
        <v>377</v>
      </c>
      <c r="G364">
        <v>3</v>
      </c>
      <c r="H364">
        <v>2</v>
      </c>
      <c r="I364">
        <v>1</v>
      </c>
      <c r="K364" s="1">
        <v>25.99</v>
      </c>
      <c r="L364" s="1">
        <v>3.65</v>
      </c>
      <c r="M364" s="1">
        <f t="shared" si="18"/>
        <v>29.639999999999997</v>
      </c>
      <c r="N364" s="11">
        <f t="shared" si="17"/>
        <v>77.97</v>
      </c>
    </row>
    <row r="365" spans="2:14" x14ac:dyDescent="0.2">
      <c r="B365" t="s">
        <v>96</v>
      </c>
      <c r="C365" t="s">
        <v>376</v>
      </c>
      <c r="D365" t="s">
        <v>378</v>
      </c>
      <c r="G365">
        <v>3</v>
      </c>
      <c r="H365">
        <v>2</v>
      </c>
      <c r="I365">
        <v>1</v>
      </c>
      <c r="K365" s="1">
        <v>25.99</v>
      </c>
      <c r="L365" s="1">
        <v>3.65</v>
      </c>
      <c r="M365" s="1">
        <f t="shared" si="18"/>
        <v>29.639999999999997</v>
      </c>
      <c r="N365" s="11">
        <f t="shared" si="17"/>
        <v>77.97</v>
      </c>
    </row>
    <row r="366" spans="2:14" x14ac:dyDescent="0.2">
      <c r="B366" t="s">
        <v>99</v>
      </c>
      <c r="C366" t="s">
        <v>379</v>
      </c>
      <c r="D366" t="s">
        <v>377</v>
      </c>
      <c r="G366">
        <v>3</v>
      </c>
      <c r="H366">
        <v>2</v>
      </c>
      <c r="I366">
        <v>1</v>
      </c>
      <c r="K366" s="1">
        <v>30.99</v>
      </c>
      <c r="L366" s="1">
        <v>3.65</v>
      </c>
      <c r="M366" s="1">
        <f t="shared" si="18"/>
        <v>34.64</v>
      </c>
      <c r="N366" s="11">
        <f t="shared" si="17"/>
        <v>92.97</v>
      </c>
    </row>
    <row r="367" spans="2:14" x14ac:dyDescent="0.2">
      <c r="B367" t="s">
        <v>93</v>
      </c>
      <c r="C367" t="s">
        <v>379</v>
      </c>
      <c r="D367" t="s">
        <v>380</v>
      </c>
      <c r="G367">
        <v>3</v>
      </c>
      <c r="H367">
        <v>2</v>
      </c>
      <c r="I367">
        <v>1</v>
      </c>
      <c r="K367" s="1">
        <v>30.99</v>
      </c>
      <c r="L367" s="1">
        <v>3.65</v>
      </c>
      <c r="M367" s="1">
        <f t="shared" si="18"/>
        <v>34.64</v>
      </c>
      <c r="N367" s="11">
        <f t="shared" si="17"/>
        <v>92.97</v>
      </c>
    </row>
    <row r="368" spans="2:14" x14ac:dyDescent="0.2">
      <c r="B368" t="s">
        <v>93</v>
      </c>
      <c r="C368" t="s">
        <v>381</v>
      </c>
      <c r="D368" t="s">
        <v>382</v>
      </c>
      <c r="G368">
        <v>2</v>
      </c>
      <c r="H368">
        <v>2</v>
      </c>
      <c r="I368">
        <v>0</v>
      </c>
      <c r="K368" s="1">
        <v>27.99</v>
      </c>
      <c r="L368" s="1">
        <v>3.65</v>
      </c>
      <c r="M368" s="1">
        <f t="shared" si="18"/>
        <v>31.639999999999997</v>
      </c>
      <c r="N368" s="11">
        <f t="shared" si="17"/>
        <v>55.98</v>
      </c>
    </row>
    <row r="369" spans="1:21" x14ac:dyDescent="0.2">
      <c r="B369" t="s">
        <v>93</v>
      </c>
      <c r="C369" t="s">
        <v>381</v>
      </c>
      <c r="D369" t="s">
        <v>380</v>
      </c>
      <c r="G369">
        <v>5</v>
      </c>
      <c r="H369">
        <v>2</v>
      </c>
      <c r="I369">
        <v>3</v>
      </c>
      <c r="K369" s="1">
        <v>27.99</v>
      </c>
      <c r="L369" s="1">
        <v>3.65</v>
      </c>
      <c r="M369" s="1">
        <f t="shared" si="18"/>
        <v>31.639999999999997</v>
      </c>
      <c r="N369" s="11">
        <f t="shared" si="17"/>
        <v>139.94999999999999</v>
      </c>
    </row>
    <row r="370" spans="1:21" x14ac:dyDescent="0.2">
      <c r="B370" t="s">
        <v>126</v>
      </c>
      <c r="C370" t="s">
        <v>383</v>
      </c>
      <c r="D370" t="s">
        <v>384</v>
      </c>
      <c r="G370">
        <v>3</v>
      </c>
      <c r="H370">
        <v>1</v>
      </c>
      <c r="I370">
        <v>2</v>
      </c>
      <c r="K370" s="1">
        <v>30.99</v>
      </c>
      <c r="L370" s="1">
        <v>3.65</v>
      </c>
      <c r="M370" s="1">
        <f t="shared" si="18"/>
        <v>34.64</v>
      </c>
      <c r="N370" s="11">
        <f t="shared" si="17"/>
        <v>92.97</v>
      </c>
    </row>
    <row r="371" spans="1:21" x14ac:dyDescent="0.2">
      <c r="B371" t="s">
        <v>126</v>
      </c>
      <c r="C371" t="s">
        <v>383</v>
      </c>
      <c r="D371" t="s">
        <v>385</v>
      </c>
      <c r="G371">
        <v>2</v>
      </c>
      <c r="H371">
        <v>2</v>
      </c>
      <c r="I371">
        <v>0</v>
      </c>
      <c r="K371" s="1">
        <v>30.99</v>
      </c>
      <c r="L371" s="1">
        <v>3.65</v>
      </c>
      <c r="M371" s="1">
        <f t="shared" si="18"/>
        <v>34.64</v>
      </c>
      <c r="N371" s="11">
        <f t="shared" si="17"/>
        <v>61.98</v>
      </c>
    </row>
    <row r="372" spans="1:21" x14ac:dyDescent="0.2">
      <c r="B372" t="s">
        <v>126</v>
      </c>
      <c r="C372" t="s">
        <v>383</v>
      </c>
      <c r="D372" t="s">
        <v>156</v>
      </c>
      <c r="G372">
        <v>2</v>
      </c>
      <c r="H372">
        <v>1</v>
      </c>
      <c r="I372">
        <v>1</v>
      </c>
      <c r="K372" s="1">
        <v>30.99</v>
      </c>
      <c r="L372" s="1">
        <v>3.65</v>
      </c>
      <c r="M372" s="1">
        <f t="shared" si="18"/>
        <v>34.64</v>
      </c>
      <c r="N372" s="11">
        <f t="shared" si="17"/>
        <v>61.98</v>
      </c>
    </row>
    <row r="373" spans="1:21" x14ac:dyDescent="0.2">
      <c r="B373" t="s">
        <v>126</v>
      </c>
      <c r="C373" t="s">
        <v>383</v>
      </c>
      <c r="D373" t="s">
        <v>158</v>
      </c>
      <c r="G373">
        <v>1</v>
      </c>
      <c r="H373">
        <v>1</v>
      </c>
      <c r="I373">
        <v>0</v>
      </c>
      <c r="K373" s="1">
        <v>30.99</v>
      </c>
      <c r="L373" s="1">
        <v>3.65</v>
      </c>
      <c r="M373" s="1">
        <f t="shared" si="18"/>
        <v>34.64</v>
      </c>
      <c r="N373" s="11">
        <f t="shared" si="17"/>
        <v>30.99</v>
      </c>
    </row>
    <row r="374" spans="1:21" x14ac:dyDescent="0.2">
      <c r="B374" t="s">
        <v>386</v>
      </c>
      <c r="C374" t="s">
        <v>387</v>
      </c>
      <c r="D374" t="s">
        <v>388</v>
      </c>
      <c r="G374">
        <v>4</v>
      </c>
      <c r="H374">
        <v>3</v>
      </c>
      <c r="I374">
        <v>1</v>
      </c>
      <c r="K374" s="1">
        <v>24.99</v>
      </c>
      <c r="L374" s="1">
        <v>3.65</v>
      </c>
      <c r="M374" s="1">
        <f t="shared" si="18"/>
        <v>28.639999999999997</v>
      </c>
      <c r="N374" s="11">
        <f t="shared" si="17"/>
        <v>99.96</v>
      </c>
    </row>
    <row r="375" spans="1:21" x14ac:dyDescent="0.2">
      <c r="B375" t="s">
        <v>386</v>
      </c>
      <c r="C375" t="s">
        <v>389</v>
      </c>
      <c r="D375" t="s">
        <v>388</v>
      </c>
      <c r="G375">
        <v>9</v>
      </c>
      <c r="H375">
        <v>6</v>
      </c>
      <c r="I375">
        <v>3</v>
      </c>
      <c r="K375" s="1">
        <v>21.99</v>
      </c>
      <c r="L375" s="1">
        <v>3.65</v>
      </c>
      <c r="M375" s="1">
        <f>K375+L375</f>
        <v>25.639999999999997</v>
      </c>
      <c r="N375" s="11">
        <f t="shared" si="17"/>
        <v>197.91</v>
      </c>
    </row>
    <row r="376" spans="1:21" x14ac:dyDescent="0.2">
      <c r="B376" t="s">
        <v>390</v>
      </c>
      <c r="C376" t="s">
        <v>391</v>
      </c>
      <c r="D376" t="s">
        <v>388</v>
      </c>
      <c r="G376">
        <v>2</v>
      </c>
      <c r="H376">
        <v>1</v>
      </c>
      <c r="I376">
        <v>1</v>
      </c>
      <c r="L376" s="1">
        <v>0</v>
      </c>
      <c r="M376" s="1">
        <f>K376+L376</f>
        <v>0</v>
      </c>
      <c r="N376" s="11">
        <f t="shared" si="17"/>
        <v>0</v>
      </c>
    </row>
    <row r="377" spans="1:21" ht="14" customHeight="1" x14ac:dyDescent="0.2">
      <c r="B377" t="s">
        <v>392</v>
      </c>
      <c r="C377" t="s">
        <v>393</v>
      </c>
      <c r="D377" t="s">
        <v>17</v>
      </c>
      <c r="F377" s="9"/>
      <c r="G377">
        <v>1</v>
      </c>
      <c r="H377" s="10">
        <v>0</v>
      </c>
      <c r="I377">
        <v>1</v>
      </c>
      <c r="J377" s="9"/>
      <c r="K377" s="9"/>
      <c r="L377" s="9">
        <v>0</v>
      </c>
      <c r="M377" s="1">
        <f t="shared" ref="M377:M440" si="19">K377+L377</f>
        <v>0</v>
      </c>
      <c r="N377" s="11">
        <f t="shared" si="17"/>
        <v>0</v>
      </c>
      <c r="O377" s="9">
        <v>40</v>
      </c>
      <c r="P377" s="9"/>
      <c r="Q377" s="9"/>
      <c r="R377" s="9"/>
      <c r="S377" s="9"/>
      <c r="T377" s="9"/>
      <c r="U377" s="9"/>
    </row>
    <row r="378" spans="1:21" x14ac:dyDescent="0.2">
      <c r="B378" t="s">
        <v>126</v>
      </c>
      <c r="C378" t="s">
        <v>141</v>
      </c>
      <c r="D378" t="s">
        <v>140</v>
      </c>
      <c r="G378">
        <v>1</v>
      </c>
      <c r="H378">
        <v>1</v>
      </c>
      <c r="I378">
        <v>0</v>
      </c>
      <c r="K378" s="1">
        <v>12</v>
      </c>
      <c r="L378" s="1">
        <v>0</v>
      </c>
      <c r="M378" s="1">
        <f t="shared" si="19"/>
        <v>12</v>
      </c>
      <c r="N378" s="11">
        <f t="shared" si="17"/>
        <v>12</v>
      </c>
    </row>
    <row r="379" spans="1:21" x14ac:dyDescent="0.2">
      <c r="B379" t="s">
        <v>394</v>
      </c>
      <c r="C379" t="s">
        <v>395</v>
      </c>
      <c r="D379" t="s">
        <v>396</v>
      </c>
      <c r="G379">
        <v>1</v>
      </c>
      <c r="H379">
        <v>1</v>
      </c>
      <c r="I379">
        <v>0</v>
      </c>
      <c r="L379" s="1">
        <v>0</v>
      </c>
      <c r="M379" s="1">
        <f t="shared" si="19"/>
        <v>0</v>
      </c>
      <c r="N379" s="11">
        <f t="shared" si="17"/>
        <v>0</v>
      </c>
    </row>
    <row r="380" spans="1:21" x14ac:dyDescent="0.2">
      <c r="A380" t="s">
        <v>397</v>
      </c>
      <c r="B380" t="s">
        <v>390</v>
      </c>
      <c r="C380" t="s">
        <v>398</v>
      </c>
      <c r="D380" t="s">
        <v>399</v>
      </c>
      <c r="G380">
        <v>1</v>
      </c>
      <c r="H380">
        <v>0</v>
      </c>
      <c r="I380">
        <v>1</v>
      </c>
      <c r="K380" s="1">
        <v>9.99</v>
      </c>
      <c r="L380" s="1">
        <v>1.8</v>
      </c>
      <c r="M380" s="1">
        <f t="shared" si="19"/>
        <v>11.790000000000001</v>
      </c>
      <c r="N380" s="11">
        <f t="shared" si="17"/>
        <v>9.99</v>
      </c>
    </row>
    <row r="381" spans="1:21" x14ac:dyDescent="0.2">
      <c r="A381" t="s">
        <v>400</v>
      </c>
      <c r="B381" t="s">
        <v>390</v>
      </c>
      <c r="C381" t="s">
        <v>401</v>
      </c>
      <c r="D381" t="s">
        <v>399</v>
      </c>
      <c r="G381">
        <v>2</v>
      </c>
      <c r="H381">
        <v>0</v>
      </c>
      <c r="I381">
        <v>2</v>
      </c>
      <c r="K381" s="1">
        <v>9.99</v>
      </c>
      <c r="L381" s="1">
        <v>1.8</v>
      </c>
      <c r="M381" s="1">
        <f t="shared" si="19"/>
        <v>11.790000000000001</v>
      </c>
      <c r="N381" s="11">
        <f t="shared" si="17"/>
        <v>19.98</v>
      </c>
    </row>
    <row r="382" spans="1:21" x14ac:dyDescent="0.2">
      <c r="B382" t="s">
        <v>121</v>
      </c>
      <c r="C382" t="s">
        <v>402</v>
      </c>
      <c r="D382" t="s">
        <v>17</v>
      </c>
      <c r="G382">
        <v>1</v>
      </c>
      <c r="H382">
        <v>1</v>
      </c>
      <c r="I382">
        <v>0</v>
      </c>
      <c r="K382" s="1">
        <v>10</v>
      </c>
      <c r="L382" s="1">
        <v>0</v>
      </c>
      <c r="M382" s="1">
        <f t="shared" si="19"/>
        <v>10</v>
      </c>
      <c r="N382" s="11">
        <f t="shared" si="17"/>
        <v>10</v>
      </c>
    </row>
    <row r="383" spans="1:21" x14ac:dyDescent="0.2">
      <c r="B383" t="s">
        <v>121</v>
      </c>
      <c r="C383" t="s">
        <v>166</v>
      </c>
      <c r="D383" t="s">
        <v>34</v>
      </c>
      <c r="G383">
        <v>3</v>
      </c>
      <c r="H383">
        <v>0</v>
      </c>
      <c r="I383">
        <v>3</v>
      </c>
      <c r="K383" s="1">
        <v>10</v>
      </c>
      <c r="L383" s="1">
        <v>0</v>
      </c>
      <c r="M383" s="1">
        <f t="shared" si="19"/>
        <v>10</v>
      </c>
      <c r="N383" s="11">
        <f t="shared" si="17"/>
        <v>30</v>
      </c>
    </row>
    <row r="384" spans="1:21" x14ac:dyDescent="0.2">
      <c r="B384" t="s">
        <v>121</v>
      </c>
      <c r="C384" t="s">
        <v>403</v>
      </c>
      <c r="D384" t="s">
        <v>17</v>
      </c>
      <c r="G384">
        <v>1</v>
      </c>
      <c r="H384">
        <v>1</v>
      </c>
      <c r="I384">
        <v>0</v>
      </c>
      <c r="K384" s="1">
        <v>10</v>
      </c>
      <c r="L384" s="1">
        <v>0</v>
      </c>
      <c r="M384" s="1">
        <f t="shared" si="19"/>
        <v>10</v>
      </c>
      <c r="N384" s="11">
        <f t="shared" si="17"/>
        <v>10</v>
      </c>
    </row>
    <row r="385" spans="2:14" x14ac:dyDescent="0.2">
      <c r="B385" t="s">
        <v>121</v>
      </c>
      <c r="C385" t="s">
        <v>404</v>
      </c>
      <c r="D385" t="s">
        <v>17</v>
      </c>
      <c r="G385">
        <v>1</v>
      </c>
      <c r="H385">
        <v>1</v>
      </c>
      <c r="I385">
        <v>0</v>
      </c>
      <c r="K385" s="1">
        <v>10</v>
      </c>
      <c r="L385" s="1">
        <v>0</v>
      </c>
      <c r="M385" s="1">
        <f t="shared" si="19"/>
        <v>10</v>
      </c>
      <c r="N385" s="11">
        <f t="shared" si="17"/>
        <v>10</v>
      </c>
    </row>
    <row r="386" spans="2:14" x14ac:dyDescent="0.2">
      <c r="B386" t="s">
        <v>110</v>
      </c>
      <c r="C386" t="s">
        <v>404</v>
      </c>
      <c r="D386" t="s">
        <v>95</v>
      </c>
      <c r="G386">
        <v>1</v>
      </c>
      <c r="H386">
        <v>0</v>
      </c>
      <c r="I386">
        <v>1</v>
      </c>
      <c r="K386" s="1">
        <v>10</v>
      </c>
      <c r="L386" s="1">
        <v>0</v>
      </c>
      <c r="M386" s="1">
        <f t="shared" si="19"/>
        <v>10</v>
      </c>
      <c r="N386" s="11">
        <f t="shared" si="17"/>
        <v>10</v>
      </c>
    </row>
    <row r="387" spans="2:14" x14ac:dyDescent="0.2">
      <c r="B387" t="s">
        <v>110</v>
      </c>
      <c r="C387" t="s">
        <v>404</v>
      </c>
      <c r="D387" t="s">
        <v>91</v>
      </c>
      <c r="G387">
        <v>1</v>
      </c>
      <c r="H387">
        <v>1</v>
      </c>
      <c r="I387">
        <v>0</v>
      </c>
      <c r="K387" s="1">
        <v>10</v>
      </c>
      <c r="L387" s="1">
        <v>0</v>
      </c>
      <c r="M387" s="1">
        <f t="shared" si="19"/>
        <v>10</v>
      </c>
      <c r="N387" s="11">
        <f t="shared" ref="N387:N450" si="20">G387*K387</f>
        <v>10</v>
      </c>
    </row>
    <row r="388" spans="2:14" x14ac:dyDescent="0.2">
      <c r="B388" t="s">
        <v>121</v>
      </c>
      <c r="C388" t="s">
        <v>404</v>
      </c>
      <c r="D388" t="s">
        <v>34</v>
      </c>
      <c r="G388">
        <v>1</v>
      </c>
      <c r="H388">
        <v>0</v>
      </c>
      <c r="I388">
        <v>1</v>
      </c>
      <c r="K388" s="1">
        <v>10</v>
      </c>
      <c r="L388" s="1">
        <v>0</v>
      </c>
      <c r="M388" s="1">
        <f t="shared" si="19"/>
        <v>10</v>
      </c>
      <c r="N388" s="11">
        <f t="shared" si="20"/>
        <v>10</v>
      </c>
    </row>
    <row r="389" spans="2:14" x14ac:dyDescent="0.2">
      <c r="B389" t="s">
        <v>32</v>
      </c>
      <c r="C389" t="s">
        <v>405</v>
      </c>
      <c r="D389" t="s">
        <v>34</v>
      </c>
      <c r="G389">
        <v>1</v>
      </c>
      <c r="H389">
        <v>0</v>
      </c>
      <c r="I389">
        <v>1</v>
      </c>
      <c r="K389" s="1">
        <v>10</v>
      </c>
      <c r="L389" s="1">
        <v>0</v>
      </c>
      <c r="M389" s="1">
        <f t="shared" si="19"/>
        <v>10</v>
      </c>
      <c r="N389" s="11">
        <f t="shared" si="20"/>
        <v>10</v>
      </c>
    </row>
    <row r="390" spans="2:14" x14ac:dyDescent="0.2">
      <c r="B390" t="s">
        <v>32</v>
      </c>
      <c r="C390" t="s">
        <v>406</v>
      </c>
      <c r="D390" t="s">
        <v>34</v>
      </c>
      <c r="G390">
        <v>1</v>
      </c>
      <c r="H390">
        <v>0</v>
      </c>
      <c r="I390">
        <v>1</v>
      </c>
      <c r="K390" s="1">
        <v>10</v>
      </c>
      <c r="L390" s="1">
        <v>0</v>
      </c>
      <c r="M390" s="1">
        <f t="shared" si="19"/>
        <v>10</v>
      </c>
      <c r="N390" s="11">
        <f t="shared" si="20"/>
        <v>10</v>
      </c>
    </row>
    <row r="391" spans="2:14" x14ac:dyDescent="0.2">
      <c r="B391" t="s">
        <v>99</v>
      </c>
      <c r="C391" t="s">
        <v>407</v>
      </c>
      <c r="D391" t="s">
        <v>17</v>
      </c>
      <c r="G391">
        <v>1</v>
      </c>
      <c r="H391">
        <v>0</v>
      </c>
      <c r="I391">
        <v>1</v>
      </c>
      <c r="K391" s="1">
        <v>10</v>
      </c>
      <c r="L391" s="1">
        <v>0</v>
      </c>
      <c r="M391" s="1">
        <f t="shared" si="19"/>
        <v>10</v>
      </c>
      <c r="N391" s="11">
        <f t="shared" si="20"/>
        <v>10</v>
      </c>
    </row>
    <row r="392" spans="2:14" x14ac:dyDescent="0.2">
      <c r="B392" t="s">
        <v>32</v>
      </c>
      <c r="C392" t="s">
        <v>408</v>
      </c>
      <c r="D392" t="s">
        <v>71</v>
      </c>
      <c r="G392">
        <v>3</v>
      </c>
      <c r="H392">
        <v>0</v>
      </c>
      <c r="I392">
        <v>3</v>
      </c>
      <c r="K392" s="1">
        <v>10</v>
      </c>
      <c r="L392" s="1">
        <v>0</v>
      </c>
      <c r="M392" s="1">
        <f t="shared" si="19"/>
        <v>10</v>
      </c>
      <c r="N392" s="11">
        <f t="shared" si="20"/>
        <v>30</v>
      </c>
    </row>
    <row r="393" spans="2:14" x14ac:dyDescent="0.2">
      <c r="B393" t="s">
        <v>215</v>
      </c>
      <c r="C393" t="s">
        <v>409</v>
      </c>
      <c r="D393" t="s">
        <v>261</v>
      </c>
      <c r="G393">
        <v>1</v>
      </c>
      <c r="H393">
        <v>0</v>
      </c>
      <c r="I393">
        <v>1</v>
      </c>
      <c r="K393" s="1">
        <v>10</v>
      </c>
      <c r="L393" s="1">
        <v>0</v>
      </c>
      <c r="M393" s="1">
        <f t="shared" si="19"/>
        <v>10</v>
      </c>
      <c r="N393" s="11">
        <f t="shared" si="20"/>
        <v>10</v>
      </c>
    </row>
    <row r="394" spans="2:14" x14ac:dyDescent="0.2">
      <c r="B394" t="s">
        <v>215</v>
      </c>
      <c r="C394" t="s">
        <v>410</v>
      </c>
      <c r="D394" t="s">
        <v>97</v>
      </c>
      <c r="G394">
        <v>1</v>
      </c>
      <c r="H394">
        <v>0</v>
      </c>
      <c r="I394">
        <v>1</v>
      </c>
      <c r="K394" s="1">
        <v>10</v>
      </c>
      <c r="L394" s="1">
        <v>0</v>
      </c>
      <c r="M394" s="1">
        <f t="shared" si="19"/>
        <v>10</v>
      </c>
      <c r="N394" s="11">
        <f t="shared" si="20"/>
        <v>10</v>
      </c>
    </row>
    <row r="395" spans="2:14" x14ac:dyDescent="0.2">
      <c r="B395" t="s">
        <v>215</v>
      </c>
      <c r="C395" t="s">
        <v>411</v>
      </c>
      <c r="D395" t="s">
        <v>257</v>
      </c>
      <c r="G395">
        <v>1</v>
      </c>
      <c r="H395">
        <v>0</v>
      </c>
      <c r="I395">
        <v>1</v>
      </c>
      <c r="K395" s="1">
        <v>10</v>
      </c>
      <c r="L395" s="1">
        <v>0</v>
      </c>
      <c r="M395" s="1">
        <f t="shared" si="19"/>
        <v>10</v>
      </c>
      <c r="N395" s="11">
        <f t="shared" si="20"/>
        <v>10</v>
      </c>
    </row>
    <row r="396" spans="2:14" x14ac:dyDescent="0.2">
      <c r="B396" t="s">
        <v>32</v>
      </c>
      <c r="C396" t="s">
        <v>412</v>
      </c>
      <c r="D396" t="s">
        <v>17</v>
      </c>
      <c r="G396">
        <v>1</v>
      </c>
      <c r="H396">
        <v>0</v>
      </c>
      <c r="I396">
        <v>1</v>
      </c>
      <c r="K396" s="1">
        <v>10</v>
      </c>
      <c r="L396" s="1">
        <v>0</v>
      </c>
      <c r="M396" s="1">
        <f t="shared" si="19"/>
        <v>10</v>
      </c>
      <c r="N396" s="11">
        <f t="shared" si="20"/>
        <v>10</v>
      </c>
    </row>
    <row r="397" spans="2:14" x14ac:dyDescent="0.2">
      <c r="B397" t="s">
        <v>215</v>
      </c>
      <c r="C397" t="s">
        <v>413</v>
      </c>
      <c r="D397" t="s">
        <v>97</v>
      </c>
      <c r="G397">
        <v>1</v>
      </c>
      <c r="H397">
        <v>0</v>
      </c>
      <c r="I397">
        <v>1</v>
      </c>
      <c r="K397" s="1">
        <v>10</v>
      </c>
      <c r="L397" s="1">
        <v>0</v>
      </c>
      <c r="M397" s="1">
        <f t="shared" si="19"/>
        <v>10</v>
      </c>
      <c r="N397" s="11">
        <f t="shared" si="20"/>
        <v>10</v>
      </c>
    </row>
    <row r="398" spans="2:14" x14ac:dyDescent="0.2">
      <c r="B398" t="s">
        <v>414</v>
      </c>
      <c r="C398" t="s">
        <v>415</v>
      </c>
      <c r="D398" t="s">
        <v>34</v>
      </c>
      <c r="G398">
        <v>1</v>
      </c>
      <c r="H398">
        <v>0</v>
      </c>
      <c r="I398">
        <v>1</v>
      </c>
      <c r="K398" s="1">
        <v>10</v>
      </c>
      <c r="L398" s="1">
        <v>0</v>
      </c>
      <c r="M398" s="1">
        <f t="shared" si="19"/>
        <v>10</v>
      </c>
      <c r="N398" s="11">
        <f t="shared" si="20"/>
        <v>10</v>
      </c>
    </row>
    <row r="399" spans="2:14" x14ac:dyDescent="0.2">
      <c r="B399" t="s">
        <v>416</v>
      </c>
      <c r="C399" t="s">
        <v>417</v>
      </c>
      <c r="D399" t="s">
        <v>97</v>
      </c>
      <c r="G399">
        <v>1</v>
      </c>
      <c r="H399">
        <v>0</v>
      </c>
      <c r="I399">
        <v>1</v>
      </c>
      <c r="K399" s="1">
        <v>10</v>
      </c>
      <c r="L399" s="1">
        <v>0</v>
      </c>
      <c r="M399" s="1">
        <f t="shared" si="19"/>
        <v>10</v>
      </c>
      <c r="N399" s="11">
        <f t="shared" si="20"/>
        <v>10</v>
      </c>
    </row>
    <row r="400" spans="2:14" x14ac:dyDescent="0.2">
      <c r="B400" t="s">
        <v>414</v>
      </c>
      <c r="C400" t="s">
        <v>417</v>
      </c>
      <c r="D400" t="s">
        <v>34</v>
      </c>
      <c r="G400">
        <v>1</v>
      </c>
      <c r="H400">
        <v>0</v>
      </c>
      <c r="I400">
        <v>1</v>
      </c>
      <c r="K400" s="1">
        <v>10</v>
      </c>
      <c r="L400" s="1">
        <v>0</v>
      </c>
      <c r="M400" s="1">
        <f t="shared" si="19"/>
        <v>10</v>
      </c>
      <c r="N400" s="11">
        <f t="shared" si="20"/>
        <v>10</v>
      </c>
    </row>
    <row r="401" spans="1:14" x14ac:dyDescent="0.2">
      <c r="B401" t="s">
        <v>285</v>
      </c>
      <c r="C401" t="s">
        <v>418</v>
      </c>
      <c r="D401" t="s">
        <v>91</v>
      </c>
      <c r="G401">
        <v>1</v>
      </c>
      <c r="H401">
        <v>0</v>
      </c>
      <c r="I401">
        <v>1</v>
      </c>
      <c r="K401" s="1">
        <v>10</v>
      </c>
      <c r="L401" s="1">
        <v>0</v>
      </c>
      <c r="M401" s="1">
        <f t="shared" si="19"/>
        <v>10</v>
      </c>
      <c r="N401" s="11">
        <f t="shared" si="20"/>
        <v>10</v>
      </c>
    </row>
    <row r="402" spans="1:14" x14ac:dyDescent="0.2">
      <c r="B402" t="s">
        <v>285</v>
      </c>
      <c r="C402" t="s">
        <v>419</v>
      </c>
      <c r="D402" t="s">
        <v>95</v>
      </c>
      <c r="G402">
        <v>1</v>
      </c>
      <c r="H402">
        <v>0</v>
      </c>
      <c r="I402">
        <v>1</v>
      </c>
      <c r="K402" s="1">
        <v>10</v>
      </c>
      <c r="L402" s="1">
        <v>0</v>
      </c>
      <c r="M402" s="1">
        <f t="shared" si="19"/>
        <v>10</v>
      </c>
      <c r="N402" s="11">
        <f t="shared" si="20"/>
        <v>10</v>
      </c>
    </row>
    <row r="403" spans="1:14" x14ac:dyDescent="0.2">
      <c r="B403" t="s">
        <v>277</v>
      </c>
      <c r="C403" t="s">
        <v>420</v>
      </c>
      <c r="D403" t="s">
        <v>34</v>
      </c>
      <c r="G403">
        <v>1</v>
      </c>
      <c r="H403">
        <v>0</v>
      </c>
      <c r="I403">
        <v>1</v>
      </c>
      <c r="K403" s="1">
        <v>10</v>
      </c>
      <c r="L403" s="1">
        <v>0</v>
      </c>
      <c r="M403" s="1">
        <f t="shared" si="19"/>
        <v>10</v>
      </c>
      <c r="N403" s="11">
        <f t="shared" si="20"/>
        <v>10</v>
      </c>
    </row>
    <row r="404" spans="1:14" x14ac:dyDescent="0.2">
      <c r="B404" t="s">
        <v>282</v>
      </c>
      <c r="C404" t="s">
        <v>421</v>
      </c>
      <c r="D404" t="s">
        <v>97</v>
      </c>
      <c r="G404">
        <v>1</v>
      </c>
      <c r="H404">
        <v>0</v>
      </c>
      <c r="I404">
        <v>1</v>
      </c>
      <c r="K404" s="1">
        <v>10</v>
      </c>
      <c r="L404" s="1">
        <v>0</v>
      </c>
      <c r="M404" s="1">
        <f t="shared" si="19"/>
        <v>10</v>
      </c>
      <c r="N404" s="11">
        <f t="shared" si="20"/>
        <v>10</v>
      </c>
    </row>
    <row r="405" spans="1:14" x14ac:dyDescent="0.2">
      <c r="B405" t="s">
        <v>422</v>
      </c>
      <c r="C405" t="s">
        <v>423</v>
      </c>
      <c r="D405" t="s">
        <v>102</v>
      </c>
      <c r="G405">
        <v>1</v>
      </c>
      <c r="H405">
        <v>0</v>
      </c>
      <c r="I405">
        <v>1</v>
      </c>
      <c r="K405" s="1">
        <v>10</v>
      </c>
      <c r="L405" s="1">
        <v>0</v>
      </c>
      <c r="M405" s="1">
        <f t="shared" si="19"/>
        <v>10</v>
      </c>
      <c r="N405" s="11">
        <f t="shared" si="20"/>
        <v>10</v>
      </c>
    </row>
    <row r="406" spans="1:14" x14ac:dyDescent="0.2">
      <c r="B406" t="s">
        <v>285</v>
      </c>
      <c r="C406" t="s">
        <v>424</v>
      </c>
      <c r="D406" t="s">
        <v>95</v>
      </c>
      <c r="G406">
        <v>1</v>
      </c>
      <c r="H406">
        <v>0</v>
      </c>
      <c r="I406">
        <v>1</v>
      </c>
      <c r="K406" s="1">
        <v>10</v>
      </c>
      <c r="L406" s="1">
        <v>0</v>
      </c>
      <c r="M406" s="1">
        <f t="shared" si="19"/>
        <v>10</v>
      </c>
      <c r="N406" s="11">
        <f t="shared" si="20"/>
        <v>10</v>
      </c>
    </row>
    <row r="407" spans="1:14" x14ac:dyDescent="0.2">
      <c r="B407" t="s">
        <v>277</v>
      </c>
      <c r="C407" t="s">
        <v>425</v>
      </c>
      <c r="D407" t="s">
        <v>34</v>
      </c>
      <c r="G407">
        <v>1</v>
      </c>
      <c r="H407">
        <v>0</v>
      </c>
      <c r="I407">
        <v>1</v>
      </c>
      <c r="K407" s="1">
        <v>10</v>
      </c>
      <c r="L407" s="1">
        <v>0</v>
      </c>
      <c r="M407" s="1">
        <f t="shared" si="19"/>
        <v>10</v>
      </c>
      <c r="N407" s="11">
        <f t="shared" si="20"/>
        <v>10</v>
      </c>
    </row>
    <row r="408" spans="1:14" x14ac:dyDescent="0.2">
      <c r="B408" t="s">
        <v>110</v>
      </c>
      <c r="C408" t="s">
        <v>426</v>
      </c>
      <c r="D408" t="s">
        <v>91</v>
      </c>
      <c r="G408">
        <v>1</v>
      </c>
      <c r="H408">
        <v>0</v>
      </c>
      <c r="I408">
        <v>1</v>
      </c>
      <c r="K408" s="1">
        <v>10</v>
      </c>
      <c r="L408" s="1">
        <v>0</v>
      </c>
      <c r="M408" s="1">
        <f t="shared" si="19"/>
        <v>10</v>
      </c>
      <c r="N408" s="11">
        <f t="shared" si="20"/>
        <v>10</v>
      </c>
    </row>
    <row r="409" spans="1:14" x14ac:dyDescent="0.2">
      <c r="B409" t="s">
        <v>285</v>
      </c>
      <c r="C409" t="s">
        <v>427</v>
      </c>
      <c r="D409" t="s">
        <v>91</v>
      </c>
      <c r="G409">
        <v>2</v>
      </c>
      <c r="H409">
        <v>0</v>
      </c>
      <c r="I409">
        <v>2</v>
      </c>
      <c r="K409" s="1">
        <v>10</v>
      </c>
      <c r="L409" s="1">
        <v>0</v>
      </c>
      <c r="M409" s="1">
        <f t="shared" si="19"/>
        <v>10</v>
      </c>
      <c r="N409" s="11">
        <f t="shared" si="20"/>
        <v>20</v>
      </c>
    </row>
    <row r="410" spans="1:14" x14ac:dyDescent="0.2">
      <c r="B410" t="s">
        <v>285</v>
      </c>
      <c r="C410" t="s">
        <v>428</v>
      </c>
      <c r="D410" t="s">
        <v>95</v>
      </c>
      <c r="G410">
        <v>1</v>
      </c>
      <c r="H410">
        <v>0</v>
      </c>
      <c r="I410">
        <v>1</v>
      </c>
      <c r="K410" s="1">
        <v>10</v>
      </c>
      <c r="L410" s="1">
        <v>0</v>
      </c>
      <c r="M410" s="1">
        <f t="shared" si="19"/>
        <v>10</v>
      </c>
      <c r="N410" s="11">
        <f t="shared" si="20"/>
        <v>10</v>
      </c>
    </row>
    <row r="411" spans="1:14" x14ac:dyDescent="0.2">
      <c r="B411" t="s">
        <v>282</v>
      </c>
      <c r="C411" t="s">
        <v>429</v>
      </c>
      <c r="D411" t="s">
        <v>97</v>
      </c>
      <c r="G411">
        <v>1</v>
      </c>
      <c r="H411">
        <v>0</v>
      </c>
      <c r="I411">
        <v>1</v>
      </c>
      <c r="K411" s="1">
        <v>10</v>
      </c>
      <c r="L411" s="1">
        <v>0</v>
      </c>
      <c r="M411" s="1">
        <f t="shared" si="19"/>
        <v>10</v>
      </c>
      <c r="N411" s="11">
        <f t="shared" si="20"/>
        <v>10</v>
      </c>
    </row>
    <row r="412" spans="1:14" x14ac:dyDescent="0.2">
      <c r="B412" t="s">
        <v>282</v>
      </c>
      <c r="C412" t="s">
        <v>430</v>
      </c>
      <c r="D412" t="s">
        <v>97</v>
      </c>
      <c r="G412">
        <v>1</v>
      </c>
      <c r="H412">
        <v>0</v>
      </c>
      <c r="I412">
        <v>1</v>
      </c>
      <c r="K412" s="1">
        <v>10</v>
      </c>
      <c r="L412" s="1">
        <v>0</v>
      </c>
      <c r="M412" s="1">
        <f t="shared" si="19"/>
        <v>10</v>
      </c>
      <c r="N412" s="11">
        <f t="shared" si="20"/>
        <v>10</v>
      </c>
    </row>
    <row r="413" spans="1:14" x14ac:dyDescent="0.2">
      <c r="B413" t="s">
        <v>282</v>
      </c>
      <c r="C413" t="s">
        <v>431</v>
      </c>
      <c r="D413" t="s">
        <v>97</v>
      </c>
      <c r="G413">
        <v>1</v>
      </c>
      <c r="H413">
        <v>0</v>
      </c>
      <c r="I413">
        <v>1</v>
      </c>
      <c r="K413" s="1">
        <v>10</v>
      </c>
      <c r="L413" s="1">
        <v>0</v>
      </c>
      <c r="M413" s="1">
        <f t="shared" si="19"/>
        <v>10</v>
      </c>
      <c r="N413" s="11">
        <f t="shared" si="20"/>
        <v>10</v>
      </c>
    </row>
    <row r="414" spans="1:14" x14ac:dyDescent="0.2">
      <c r="A414" t="s">
        <v>432</v>
      </c>
      <c r="B414" t="s">
        <v>282</v>
      </c>
      <c r="C414" t="s">
        <v>433</v>
      </c>
      <c r="D414" t="s">
        <v>97</v>
      </c>
      <c r="G414">
        <v>1</v>
      </c>
      <c r="H414">
        <v>0</v>
      </c>
      <c r="I414">
        <v>1</v>
      </c>
      <c r="K414" s="1">
        <v>10</v>
      </c>
      <c r="L414" s="1">
        <v>0</v>
      </c>
      <c r="M414" s="1">
        <f t="shared" si="19"/>
        <v>10</v>
      </c>
      <c r="N414" s="11">
        <f t="shared" si="20"/>
        <v>10</v>
      </c>
    </row>
    <row r="415" spans="1:14" x14ac:dyDescent="0.2">
      <c r="B415" t="s">
        <v>277</v>
      </c>
      <c r="C415" t="s">
        <v>434</v>
      </c>
      <c r="D415" t="s">
        <v>34</v>
      </c>
      <c r="G415">
        <v>2</v>
      </c>
      <c r="H415">
        <v>0</v>
      </c>
      <c r="I415">
        <v>2</v>
      </c>
      <c r="K415" s="1">
        <v>10</v>
      </c>
      <c r="L415" s="1">
        <v>0</v>
      </c>
      <c r="M415" s="1">
        <f t="shared" si="19"/>
        <v>10</v>
      </c>
      <c r="N415" s="11">
        <f t="shared" si="20"/>
        <v>20</v>
      </c>
    </row>
    <row r="416" spans="1:14" x14ac:dyDescent="0.2">
      <c r="B416" t="s">
        <v>285</v>
      </c>
      <c r="C416" t="s">
        <v>435</v>
      </c>
      <c r="D416" t="s">
        <v>239</v>
      </c>
      <c r="G416">
        <v>1</v>
      </c>
      <c r="H416">
        <v>1</v>
      </c>
      <c r="I416">
        <v>0</v>
      </c>
      <c r="K416" s="1">
        <v>10</v>
      </c>
      <c r="L416" s="1">
        <v>0</v>
      </c>
      <c r="M416" s="1">
        <f t="shared" si="19"/>
        <v>10</v>
      </c>
      <c r="N416" s="11">
        <f t="shared" si="20"/>
        <v>10</v>
      </c>
    </row>
    <row r="417" spans="2:14" x14ac:dyDescent="0.2">
      <c r="B417" t="s">
        <v>282</v>
      </c>
      <c r="C417" t="s">
        <v>436</v>
      </c>
      <c r="D417" t="s">
        <v>97</v>
      </c>
      <c r="G417">
        <v>1</v>
      </c>
      <c r="H417">
        <v>0</v>
      </c>
      <c r="I417">
        <v>1</v>
      </c>
      <c r="K417" s="1">
        <v>10</v>
      </c>
      <c r="L417" s="1">
        <v>0</v>
      </c>
      <c r="M417" s="1">
        <f t="shared" si="19"/>
        <v>10</v>
      </c>
      <c r="N417" s="11">
        <f t="shared" si="20"/>
        <v>10</v>
      </c>
    </row>
    <row r="418" spans="2:14" x14ac:dyDescent="0.2">
      <c r="B418" t="s">
        <v>277</v>
      </c>
      <c r="C418" t="s">
        <v>437</v>
      </c>
      <c r="D418" t="s">
        <v>17</v>
      </c>
      <c r="G418">
        <v>1</v>
      </c>
      <c r="H418">
        <v>0</v>
      </c>
      <c r="I418">
        <v>1</v>
      </c>
      <c r="K418" s="1">
        <v>10</v>
      </c>
      <c r="L418" s="1">
        <v>0</v>
      </c>
      <c r="M418" s="1">
        <f t="shared" si="19"/>
        <v>10</v>
      </c>
      <c r="N418" s="11">
        <f t="shared" si="20"/>
        <v>10</v>
      </c>
    </row>
    <row r="419" spans="2:14" x14ac:dyDescent="0.2">
      <c r="B419" t="s">
        <v>277</v>
      </c>
      <c r="C419" t="s">
        <v>437</v>
      </c>
      <c r="D419" t="s">
        <v>34</v>
      </c>
      <c r="G419">
        <v>1</v>
      </c>
      <c r="H419">
        <v>0</v>
      </c>
      <c r="I419">
        <v>1</v>
      </c>
      <c r="K419" s="1">
        <v>10</v>
      </c>
      <c r="L419" s="1">
        <v>0</v>
      </c>
      <c r="M419" s="1">
        <f t="shared" si="19"/>
        <v>10</v>
      </c>
      <c r="N419" s="11">
        <f t="shared" si="20"/>
        <v>10</v>
      </c>
    </row>
    <row r="420" spans="2:14" x14ac:dyDescent="0.2">
      <c r="B420" t="s">
        <v>277</v>
      </c>
      <c r="C420" t="s">
        <v>438</v>
      </c>
      <c r="D420" t="s">
        <v>17</v>
      </c>
      <c r="G420">
        <v>1</v>
      </c>
      <c r="H420">
        <v>0</v>
      </c>
      <c r="I420">
        <v>1</v>
      </c>
      <c r="K420" s="1">
        <v>10</v>
      </c>
      <c r="L420" s="1">
        <v>0</v>
      </c>
      <c r="M420" s="1">
        <f t="shared" si="19"/>
        <v>10</v>
      </c>
      <c r="N420" s="11">
        <f t="shared" si="20"/>
        <v>10</v>
      </c>
    </row>
    <row r="421" spans="2:14" x14ac:dyDescent="0.2">
      <c r="B421" t="s">
        <v>277</v>
      </c>
      <c r="C421" t="s">
        <v>439</v>
      </c>
      <c r="D421" t="s">
        <v>34</v>
      </c>
      <c r="G421">
        <v>1</v>
      </c>
      <c r="H421">
        <v>0</v>
      </c>
      <c r="I421">
        <v>1</v>
      </c>
      <c r="K421" s="1">
        <v>10</v>
      </c>
      <c r="L421" s="1">
        <v>0</v>
      </c>
      <c r="M421" s="1">
        <f t="shared" si="19"/>
        <v>10</v>
      </c>
      <c r="N421" s="11">
        <f t="shared" si="20"/>
        <v>10</v>
      </c>
    </row>
    <row r="422" spans="2:14" x14ac:dyDescent="0.2">
      <c r="B422" t="s">
        <v>282</v>
      </c>
      <c r="C422" t="s">
        <v>440</v>
      </c>
      <c r="D422" t="s">
        <v>97</v>
      </c>
      <c r="G422">
        <v>1</v>
      </c>
      <c r="H422">
        <v>0</v>
      </c>
      <c r="I422">
        <v>1</v>
      </c>
      <c r="K422" s="1">
        <v>10</v>
      </c>
      <c r="L422" s="1">
        <v>0</v>
      </c>
      <c r="M422" s="1">
        <f t="shared" si="19"/>
        <v>10</v>
      </c>
      <c r="N422" s="11">
        <f t="shared" si="20"/>
        <v>10</v>
      </c>
    </row>
    <row r="423" spans="2:14" x14ac:dyDescent="0.2">
      <c r="B423" t="s">
        <v>277</v>
      </c>
      <c r="C423" t="s">
        <v>347</v>
      </c>
      <c r="D423" t="s">
        <v>34</v>
      </c>
      <c r="G423">
        <v>1</v>
      </c>
      <c r="H423">
        <v>0</v>
      </c>
      <c r="I423">
        <v>1</v>
      </c>
      <c r="K423" s="1">
        <v>10</v>
      </c>
      <c r="L423" s="1">
        <v>0</v>
      </c>
      <c r="M423" s="1">
        <f t="shared" si="19"/>
        <v>10</v>
      </c>
      <c r="N423" s="11">
        <f t="shared" si="20"/>
        <v>10</v>
      </c>
    </row>
    <row r="424" spans="2:14" x14ac:dyDescent="0.2">
      <c r="B424" t="s">
        <v>285</v>
      </c>
      <c r="C424" t="s">
        <v>441</v>
      </c>
      <c r="D424" t="s">
        <v>91</v>
      </c>
      <c r="G424">
        <v>1</v>
      </c>
      <c r="H424">
        <v>0</v>
      </c>
      <c r="I424">
        <v>1</v>
      </c>
      <c r="K424" s="1">
        <v>10</v>
      </c>
      <c r="L424" s="1">
        <v>0</v>
      </c>
      <c r="M424" s="1">
        <f t="shared" si="19"/>
        <v>10</v>
      </c>
      <c r="N424" s="11">
        <f t="shared" si="20"/>
        <v>10</v>
      </c>
    </row>
    <row r="425" spans="2:14" x14ac:dyDescent="0.2">
      <c r="B425" t="s">
        <v>285</v>
      </c>
      <c r="C425" t="s">
        <v>442</v>
      </c>
      <c r="D425" t="s">
        <v>95</v>
      </c>
      <c r="G425">
        <v>1</v>
      </c>
      <c r="H425">
        <v>0</v>
      </c>
      <c r="I425">
        <v>1</v>
      </c>
      <c r="K425" s="1">
        <v>10</v>
      </c>
      <c r="L425" s="1">
        <v>0</v>
      </c>
      <c r="M425" s="1">
        <f t="shared" si="19"/>
        <v>10</v>
      </c>
      <c r="N425" s="11">
        <f t="shared" si="20"/>
        <v>10</v>
      </c>
    </row>
    <row r="426" spans="2:14" x14ac:dyDescent="0.2">
      <c r="B426" t="s">
        <v>285</v>
      </c>
      <c r="C426" t="s">
        <v>443</v>
      </c>
      <c r="D426" t="s">
        <v>91</v>
      </c>
      <c r="G426">
        <v>2</v>
      </c>
      <c r="H426">
        <v>0</v>
      </c>
      <c r="I426">
        <v>2</v>
      </c>
      <c r="K426" s="1">
        <v>10</v>
      </c>
      <c r="L426" s="1">
        <v>0</v>
      </c>
      <c r="M426" s="1">
        <f t="shared" si="19"/>
        <v>10</v>
      </c>
      <c r="N426" s="11">
        <f t="shared" si="20"/>
        <v>20</v>
      </c>
    </row>
    <row r="427" spans="2:14" x14ac:dyDescent="0.2">
      <c r="B427" t="s">
        <v>285</v>
      </c>
      <c r="C427" t="s">
        <v>444</v>
      </c>
      <c r="D427" t="s">
        <v>91</v>
      </c>
      <c r="G427">
        <v>1</v>
      </c>
      <c r="H427">
        <v>0</v>
      </c>
      <c r="I427">
        <v>1</v>
      </c>
      <c r="K427" s="1">
        <v>10</v>
      </c>
      <c r="L427" s="1">
        <v>0</v>
      </c>
      <c r="M427" s="1">
        <f t="shared" si="19"/>
        <v>10</v>
      </c>
      <c r="N427" s="11">
        <f t="shared" si="20"/>
        <v>10</v>
      </c>
    </row>
    <row r="428" spans="2:14" x14ac:dyDescent="0.2">
      <c r="B428" t="s">
        <v>282</v>
      </c>
      <c r="C428" t="s">
        <v>445</v>
      </c>
      <c r="D428" t="s">
        <v>97</v>
      </c>
      <c r="G428">
        <v>1</v>
      </c>
      <c r="H428">
        <v>0</v>
      </c>
      <c r="I428">
        <v>1</v>
      </c>
      <c r="K428" s="1">
        <v>10</v>
      </c>
      <c r="L428" s="1">
        <v>0</v>
      </c>
      <c r="M428" s="1">
        <f t="shared" si="19"/>
        <v>10</v>
      </c>
      <c r="N428" s="11">
        <f t="shared" si="20"/>
        <v>10</v>
      </c>
    </row>
    <row r="429" spans="2:14" x14ac:dyDescent="0.2">
      <c r="B429" t="s">
        <v>277</v>
      </c>
      <c r="C429" t="s">
        <v>446</v>
      </c>
      <c r="D429" t="s">
        <v>34</v>
      </c>
      <c r="G429">
        <v>1</v>
      </c>
      <c r="H429">
        <v>0</v>
      </c>
      <c r="I429">
        <v>1</v>
      </c>
      <c r="K429" s="1">
        <v>10</v>
      </c>
      <c r="L429" s="1">
        <v>0</v>
      </c>
      <c r="M429" s="1">
        <f t="shared" si="19"/>
        <v>10</v>
      </c>
      <c r="N429" s="11">
        <f t="shared" si="20"/>
        <v>10</v>
      </c>
    </row>
    <row r="430" spans="2:14" x14ac:dyDescent="0.2">
      <c r="B430" t="s">
        <v>285</v>
      </c>
      <c r="C430" t="s">
        <v>435</v>
      </c>
      <c r="D430" t="s">
        <v>95</v>
      </c>
      <c r="G430">
        <v>1</v>
      </c>
      <c r="H430">
        <v>0</v>
      </c>
      <c r="I430">
        <v>1</v>
      </c>
      <c r="K430" s="1">
        <v>10</v>
      </c>
      <c r="L430" s="1">
        <v>0</v>
      </c>
      <c r="M430" s="1">
        <f t="shared" si="19"/>
        <v>10</v>
      </c>
      <c r="N430" s="11">
        <f t="shared" si="20"/>
        <v>10</v>
      </c>
    </row>
    <row r="431" spans="2:14" x14ac:dyDescent="0.2">
      <c r="B431" t="s">
        <v>285</v>
      </c>
      <c r="C431" t="s">
        <v>447</v>
      </c>
      <c r="D431" t="s">
        <v>95</v>
      </c>
      <c r="G431">
        <v>1</v>
      </c>
      <c r="H431">
        <v>0</v>
      </c>
      <c r="I431">
        <v>1</v>
      </c>
      <c r="K431" s="1">
        <v>10</v>
      </c>
      <c r="L431" s="1">
        <v>0</v>
      </c>
      <c r="M431" s="1">
        <f t="shared" si="19"/>
        <v>10</v>
      </c>
      <c r="N431" s="11">
        <f t="shared" si="20"/>
        <v>10</v>
      </c>
    </row>
    <row r="432" spans="2:14" x14ac:dyDescent="0.2">
      <c r="B432" t="s">
        <v>285</v>
      </c>
      <c r="C432" t="s">
        <v>311</v>
      </c>
      <c r="D432" t="s">
        <v>91</v>
      </c>
      <c r="G432">
        <v>1</v>
      </c>
      <c r="H432">
        <v>0</v>
      </c>
      <c r="I432">
        <v>1</v>
      </c>
      <c r="K432" s="1">
        <v>10</v>
      </c>
      <c r="L432" s="1">
        <v>0</v>
      </c>
      <c r="M432" s="1">
        <f t="shared" si="19"/>
        <v>10</v>
      </c>
      <c r="N432" s="11">
        <f t="shared" si="20"/>
        <v>10</v>
      </c>
    </row>
    <row r="433" spans="1:14" x14ac:dyDescent="0.2">
      <c r="B433" t="s">
        <v>285</v>
      </c>
      <c r="C433" t="s">
        <v>448</v>
      </c>
      <c r="D433" t="s">
        <v>95</v>
      </c>
      <c r="G433">
        <v>1</v>
      </c>
      <c r="H433">
        <v>0</v>
      </c>
      <c r="I433">
        <v>1</v>
      </c>
      <c r="K433" s="1">
        <v>10</v>
      </c>
      <c r="L433" s="1">
        <v>0</v>
      </c>
      <c r="M433" s="1">
        <f t="shared" si="19"/>
        <v>10</v>
      </c>
      <c r="N433" s="11">
        <f t="shared" si="20"/>
        <v>10</v>
      </c>
    </row>
    <row r="434" spans="1:14" x14ac:dyDescent="0.2">
      <c r="B434" t="s">
        <v>277</v>
      </c>
      <c r="C434" t="s">
        <v>449</v>
      </c>
      <c r="D434" t="s">
        <v>34</v>
      </c>
      <c r="G434">
        <v>1</v>
      </c>
      <c r="H434">
        <v>0</v>
      </c>
      <c r="I434">
        <v>1</v>
      </c>
      <c r="K434" s="1">
        <v>10</v>
      </c>
      <c r="L434" s="1">
        <v>0</v>
      </c>
      <c r="M434" s="1">
        <f t="shared" si="19"/>
        <v>10</v>
      </c>
      <c r="N434" s="11">
        <f t="shared" si="20"/>
        <v>10</v>
      </c>
    </row>
    <row r="435" spans="1:14" x14ac:dyDescent="0.2">
      <c r="B435" t="s">
        <v>315</v>
      </c>
      <c r="C435" t="s">
        <v>450</v>
      </c>
      <c r="D435" t="s">
        <v>27</v>
      </c>
      <c r="G435">
        <v>1</v>
      </c>
      <c r="H435">
        <v>0</v>
      </c>
      <c r="I435">
        <v>1</v>
      </c>
      <c r="K435" s="1">
        <v>10</v>
      </c>
      <c r="L435" s="1">
        <v>0</v>
      </c>
      <c r="M435" s="1">
        <f t="shared" si="19"/>
        <v>10</v>
      </c>
      <c r="N435" s="11">
        <f t="shared" si="20"/>
        <v>10</v>
      </c>
    </row>
    <row r="436" spans="1:14" x14ac:dyDescent="0.2">
      <c r="B436" t="s">
        <v>285</v>
      </c>
      <c r="C436" t="s">
        <v>451</v>
      </c>
      <c r="D436" t="s">
        <v>91</v>
      </c>
      <c r="G436">
        <v>1</v>
      </c>
      <c r="H436">
        <v>0</v>
      </c>
      <c r="I436">
        <v>1</v>
      </c>
      <c r="K436" s="1">
        <v>10</v>
      </c>
      <c r="L436" s="1">
        <v>0</v>
      </c>
      <c r="M436" s="1">
        <f t="shared" si="19"/>
        <v>10</v>
      </c>
      <c r="N436" s="11">
        <f t="shared" si="20"/>
        <v>10</v>
      </c>
    </row>
    <row r="437" spans="1:14" x14ac:dyDescent="0.2">
      <c r="A437" t="s">
        <v>452</v>
      </c>
      <c r="B437" t="s">
        <v>453</v>
      </c>
      <c r="C437" t="s">
        <v>454</v>
      </c>
      <c r="D437" t="s">
        <v>388</v>
      </c>
      <c r="G437">
        <v>5</v>
      </c>
      <c r="H437">
        <v>3</v>
      </c>
      <c r="I437">
        <v>2</v>
      </c>
      <c r="K437" s="1">
        <v>25</v>
      </c>
      <c r="L437" s="1">
        <v>0</v>
      </c>
      <c r="M437" s="1">
        <f t="shared" si="19"/>
        <v>25</v>
      </c>
      <c r="N437" s="11">
        <f t="shared" si="20"/>
        <v>125</v>
      </c>
    </row>
    <row r="438" spans="1:14" x14ac:dyDescent="0.2">
      <c r="A438" t="s">
        <v>455</v>
      </c>
      <c r="B438" t="s">
        <v>453</v>
      </c>
      <c r="C438" t="s">
        <v>456</v>
      </c>
      <c r="D438" t="s">
        <v>399</v>
      </c>
      <c r="G438">
        <v>1</v>
      </c>
      <c r="H438">
        <v>1</v>
      </c>
      <c r="I438">
        <v>0</v>
      </c>
      <c r="K438" s="1">
        <v>20</v>
      </c>
      <c r="L438" s="1">
        <v>0</v>
      </c>
      <c r="M438" s="1">
        <f t="shared" si="19"/>
        <v>20</v>
      </c>
      <c r="N438" s="11">
        <f t="shared" si="20"/>
        <v>20</v>
      </c>
    </row>
    <row r="439" spans="1:14" x14ac:dyDescent="0.2">
      <c r="A439" t="s">
        <v>457</v>
      </c>
      <c r="B439" t="s">
        <v>453</v>
      </c>
      <c r="C439" t="s">
        <v>458</v>
      </c>
      <c r="D439" t="s">
        <v>399</v>
      </c>
      <c r="G439">
        <v>8</v>
      </c>
      <c r="H439">
        <v>3</v>
      </c>
      <c r="I439">
        <v>5</v>
      </c>
      <c r="K439" s="1">
        <v>20</v>
      </c>
      <c r="L439" s="1">
        <v>0</v>
      </c>
      <c r="M439" s="1">
        <f t="shared" si="19"/>
        <v>20</v>
      </c>
      <c r="N439" s="11">
        <f t="shared" si="20"/>
        <v>160</v>
      </c>
    </row>
    <row r="440" spans="1:14" x14ac:dyDescent="0.2">
      <c r="B440" t="s">
        <v>285</v>
      </c>
      <c r="C440" t="s">
        <v>459</v>
      </c>
      <c r="D440" t="s">
        <v>95</v>
      </c>
      <c r="G440">
        <v>1</v>
      </c>
      <c r="H440">
        <v>0</v>
      </c>
      <c r="I440">
        <v>1</v>
      </c>
      <c r="K440" s="1">
        <v>10</v>
      </c>
      <c r="L440" s="1">
        <v>0</v>
      </c>
      <c r="M440" s="1">
        <f t="shared" si="19"/>
        <v>10</v>
      </c>
      <c r="N440" s="11">
        <f t="shared" si="20"/>
        <v>10</v>
      </c>
    </row>
    <row r="441" spans="1:14" x14ac:dyDescent="0.2">
      <c r="B441" t="s">
        <v>112</v>
      </c>
      <c r="C441" t="s">
        <v>460</v>
      </c>
      <c r="D441" t="s">
        <v>97</v>
      </c>
      <c r="G441">
        <v>1</v>
      </c>
      <c r="H441">
        <v>0</v>
      </c>
      <c r="I441">
        <v>1</v>
      </c>
      <c r="K441" s="1">
        <v>10</v>
      </c>
      <c r="L441" s="1">
        <v>0</v>
      </c>
      <c r="M441" s="1">
        <f t="shared" ref="M441:M504" si="21">K441+L441</f>
        <v>10</v>
      </c>
      <c r="N441" s="11">
        <f t="shared" si="20"/>
        <v>10</v>
      </c>
    </row>
    <row r="442" spans="1:14" x14ac:dyDescent="0.2">
      <c r="B442" t="s">
        <v>121</v>
      </c>
      <c r="C442" t="s">
        <v>461</v>
      </c>
      <c r="D442" t="s">
        <v>34</v>
      </c>
      <c r="G442">
        <v>1</v>
      </c>
      <c r="H442">
        <v>1</v>
      </c>
      <c r="I442">
        <v>0</v>
      </c>
      <c r="K442" s="1">
        <v>10</v>
      </c>
      <c r="L442" s="1">
        <v>0</v>
      </c>
      <c r="M442" s="1">
        <f t="shared" si="21"/>
        <v>10</v>
      </c>
      <c r="N442" s="11">
        <f t="shared" si="20"/>
        <v>10</v>
      </c>
    </row>
    <row r="443" spans="1:14" x14ac:dyDescent="0.2">
      <c r="B443" t="s">
        <v>32</v>
      </c>
      <c r="C443" t="s">
        <v>462</v>
      </c>
      <c r="D443" t="s">
        <v>34</v>
      </c>
      <c r="G443">
        <v>1</v>
      </c>
      <c r="H443">
        <v>0</v>
      </c>
      <c r="I443">
        <v>1</v>
      </c>
      <c r="K443" s="1">
        <v>10</v>
      </c>
      <c r="L443" s="1">
        <v>0</v>
      </c>
      <c r="M443" s="1">
        <f t="shared" si="21"/>
        <v>10</v>
      </c>
      <c r="N443" s="11">
        <f t="shared" si="20"/>
        <v>10</v>
      </c>
    </row>
    <row r="444" spans="1:14" x14ac:dyDescent="0.2">
      <c r="B444" t="s">
        <v>32</v>
      </c>
      <c r="C444" t="s">
        <v>462</v>
      </c>
      <c r="D444" t="s">
        <v>17</v>
      </c>
      <c r="G444">
        <v>1</v>
      </c>
      <c r="H444">
        <v>0</v>
      </c>
      <c r="I444">
        <v>1</v>
      </c>
      <c r="K444" s="1">
        <v>10</v>
      </c>
      <c r="L444" s="1">
        <v>0</v>
      </c>
      <c r="M444" s="1">
        <f t="shared" si="21"/>
        <v>10</v>
      </c>
      <c r="N444" s="11">
        <f t="shared" si="20"/>
        <v>10</v>
      </c>
    </row>
    <row r="445" spans="1:14" x14ac:dyDescent="0.2">
      <c r="B445" t="s">
        <v>32</v>
      </c>
      <c r="C445" t="s">
        <v>244</v>
      </c>
      <c r="D445" t="s">
        <v>34</v>
      </c>
      <c r="G445">
        <v>1</v>
      </c>
      <c r="H445">
        <v>0</v>
      </c>
      <c r="I445">
        <v>1</v>
      </c>
      <c r="K445" s="1">
        <v>10</v>
      </c>
      <c r="L445" s="1">
        <v>0</v>
      </c>
      <c r="M445" s="1">
        <f t="shared" si="21"/>
        <v>10</v>
      </c>
      <c r="N445" s="11">
        <f t="shared" si="20"/>
        <v>10</v>
      </c>
    </row>
    <row r="446" spans="1:14" x14ac:dyDescent="0.2">
      <c r="B446" t="s">
        <v>282</v>
      </c>
      <c r="C446" t="s">
        <v>463</v>
      </c>
      <c r="D446" t="s">
        <v>97</v>
      </c>
      <c r="G446">
        <v>1</v>
      </c>
      <c r="H446">
        <v>0</v>
      </c>
      <c r="I446">
        <v>1</v>
      </c>
      <c r="K446" s="1">
        <v>10</v>
      </c>
      <c r="L446" s="1">
        <v>0</v>
      </c>
      <c r="M446" s="1">
        <f t="shared" si="21"/>
        <v>10</v>
      </c>
      <c r="N446" s="11">
        <f t="shared" si="20"/>
        <v>10</v>
      </c>
    </row>
    <row r="447" spans="1:14" x14ac:dyDescent="0.2">
      <c r="B447" t="s">
        <v>285</v>
      </c>
      <c r="C447" t="s">
        <v>464</v>
      </c>
      <c r="D447" t="s">
        <v>95</v>
      </c>
      <c r="G447">
        <v>1</v>
      </c>
      <c r="H447">
        <v>0</v>
      </c>
      <c r="I447">
        <v>1</v>
      </c>
      <c r="K447" s="1">
        <v>10</v>
      </c>
      <c r="L447" s="1">
        <v>0</v>
      </c>
      <c r="M447" s="1">
        <f t="shared" si="21"/>
        <v>10</v>
      </c>
      <c r="N447" s="11">
        <f t="shared" si="20"/>
        <v>10</v>
      </c>
    </row>
    <row r="448" spans="1:14" x14ac:dyDescent="0.2">
      <c r="B448" t="s">
        <v>285</v>
      </c>
      <c r="C448" t="s">
        <v>465</v>
      </c>
      <c r="D448" t="s">
        <v>91</v>
      </c>
      <c r="G448">
        <v>1</v>
      </c>
      <c r="H448">
        <v>0</v>
      </c>
      <c r="I448">
        <v>1</v>
      </c>
      <c r="K448" s="1">
        <v>10</v>
      </c>
      <c r="L448" s="1">
        <v>0</v>
      </c>
      <c r="M448" s="1">
        <f t="shared" si="21"/>
        <v>10</v>
      </c>
      <c r="N448" s="11">
        <f t="shared" si="20"/>
        <v>10</v>
      </c>
    </row>
    <row r="449" spans="2:14" x14ac:dyDescent="0.2">
      <c r="B449" t="s">
        <v>277</v>
      </c>
      <c r="C449" t="s">
        <v>466</v>
      </c>
      <c r="D449" t="s">
        <v>34</v>
      </c>
      <c r="G449">
        <v>1</v>
      </c>
      <c r="H449">
        <v>0</v>
      </c>
      <c r="I449">
        <v>1</v>
      </c>
      <c r="K449" s="1">
        <v>10</v>
      </c>
      <c r="L449" s="1">
        <v>0</v>
      </c>
      <c r="M449" s="1">
        <f t="shared" si="21"/>
        <v>10</v>
      </c>
      <c r="N449" s="11">
        <f t="shared" si="20"/>
        <v>10</v>
      </c>
    </row>
    <row r="450" spans="2:14" x14ac:dyDescent="0.2">
      <c r="B450" t="s">
        <v>277</v>
      </c>
      <c r="C450" t="s">
        <v>467</v>
      </c>
      <c r="D450" t="s">
        <v>34</v>
      </c>
      <c r="G450">
        <v>1</v>
      </c>
      <c r="H450">
        <v>0</v>
      </c>
      <c r="I450">
        <v>1</v>
      </c>
      <c r="K450" s="1">
        <v>10</v>
      </c>
      <c r="L450" s="1">
        <v>0</v>
      </c>
      <c r="M450" s="1">
        <f t="shared" si="21"/>
        <v>10</v>
      </c>
      <c r="N450" s="11">
        <f t="shared" si="20"/>
        <v>10</v>
      </c>
    </row>
    <row r="451" spans="2:14" x14ac:dyDescent="0.2">
      <c r="B451" t="s">
        <v>422</v>
      </c>
      <c r="C451" t="s">
        <v>468</v>
      </c>
      <c r="D451" t="s">
        <v>91</v>
      </c>
      <c r="G451">
        <v>1</v>
      </c>
      <c r="H451">
        <v>0</v>
      </c>
      <c r="I451">
        <v>1</v>
      </c>
      <c r="K451" s="1">
        <v>10</v>
      </c>
      <c r="L451" s="1">
        <v>0</v>
      </c>
      <c r="M451" s="1">
        <f t="shared" si="21"/>
        <v>10</v>
      </c>
      <c r="N451" s="11">
        <f t="shared" ref="N451:N514" si="22">G451*K451</f>
        <v>10</v>
      </c>
    </row>
    <row r="452" spans="2:14" x14ac:dyDescent="0.2">
      <c r="B452" t="s">
        <v>469</v>
      </c>
      <c r="C452" t="s">
        <v>470</v>
      </c>
      <c r="D452" t="s">
        <v>34</v>
      </c>
      <c r="G452">
        <v>1</v>
      </c>
      <c r="H452">
        <v>0</v>
      </c>
      <c r="I452">
        <v>1</v>
      </c>
      <c r="K452" s="1">
        <v>10</v>
      </c>
      <c r="L452" s="1">
        <v>0</v>
      </c>
      <c r="M452" s="1">
        <f t="shared" si="21"/>
        <v>10</v>
      </c>
      <c r="N452" s="11">
        <f t="shared" si="22"/>
        <v>10</v>
      </c>
    </row>
    <row r="453" spans="2:14" x14ac:dyDescent="0.2">
      <c r="B453" t="s">
        <v>285</v>
      </c>
      <c r="C453" t="s">
        <v>471</v>
      </c>
      <c r="D453" t="s">
        <v>91</v>
      </c>
      <c r="G453">
        <v>1</v>
      </c>
      <c r="H453">
        <v>0</v>
      </c>
      <c r="I453">
        <v>1</v>
      </c>
      <c r="K453" s="1">
        <v>10</v>
      </c>
      <c r="L453" s="1">
        <v>0</v>
      </c>
      <c r="M453" s="1">
        <f t="shared" si="21"/>
        <v>10</v>
      </c>
      <c r="N453" s="11">
        <f t="shared" si="22"/>
        <v>10</v>
      </c>
    </row>
    <row r="454" spans="2:14" x14ac:dyDescent="0.2">
      <c r="B454" t="s">
        <v>282</v>
      </c>
      <c r="C454" t="s">
        <v>472</v>
      </c>
      <c r="D454" t="s">
        <v>97</v>
      </c>
      <c r="G454">
        <v>2</v>
      </c>
      <c r="H454">
        <v>0</v>
      </c>
      <c r="I454">
        <v>2</v>
      </c>
      <c r="K454" s="1">
        <v>10</v>
      </c>
      <c r="L454" s="1">
        <v>0</v>
      </c>
      <c r="M454" s="1">
        <f t="shared" si="21"/>
        <v>10</v>
      </c>
      <c r="N454" s="11">
        <f t="shared" si="22"/>
        <v>20</v>
      </c>
    </row>
    <row r="455" spans="2:14" x14ac:dyDescent="0.2">
      <c r="B455" t="s">
        <v>277</v>
      </c>
      <c r="C455" t="s">
        <v>473</v>
      </c>
      <c r="D455" t="s">
        <v>17</v>
      </c>
      <c r="G455">
        <v>1</v>
      </c>
      <c r="H455">
        <v>0</v>
      </c>
      <c r="I455">
        <v>1</v>
      </c>
      <c r="K455" s="1">
        <v>10</v>
      </c>
      <c r="L455" s="1">
        <v>0</v>
      </c>
      <c r="M455" s="1">
        <f t="shared" si="21"/>
        <v>10</v>
      </c>
      <c r="N455" s="11">
        <f t="shared" si="22"/>
        <v>10</v>
      </c>
    </row>
    <row r="456" spans="2:14" x14ac:dyDescent="0.2">
      <c r="B456" t="s">
        <v>277</v>
      </c>
      <c r="C456" t="s">
        <v>474</v>
      </c>
      <c r="D456" t="s">
        <v>17</v>
      </c>
      <c r="G456">
        <v>1</v>
      </c>
      <c r="H456">
        <v>0</v>
      </c>
      <c r="I456">
        <v>1</v>
      </c>
      <c r="K456" s="1">
        <v>10</v>
      </c>
      <c r="L456" s="1">
        <v>0</v>
      </c>
      <c r="M456" s="1">
        <f t="shared" si="21"/>
        <v>10</v>
      </c>
      <c r="N456" s="11">
        <f t="shared" si="22"/>
        <v>10</v>
      </c>
    </row>
    <row r="457" spans="2:14" x14ac:dyDescent="0.2">
      <c r="B457" t="s">
        <v>282</v>
      </c>
      <c r="C457" t="s">
        <v>475</v>
      </c>
      <c r="D457" t="s">
        <v>97</v>
      </c>
      <c r="G457">
        <v>1</v>
      </c>
      <c r="H457">
        <v>0</v>
      </c>
      <c r="I457">
        <v>1</v>
      </c>
      <c r="K457" s="1">
        <v>10</v>
      </c>
      <c r="L457" s="1">
        <v>0</v>
      </c>
      <c r="M457" s="1">
        <f t="shared" si="21"/>
        <v>10</v>
      </c>
      <c r="N457" s="11">
        <f t="shared" si="22"/>
        <v>10</v>
      </c>
    </row>
    <row r="458" spans="2:14" x14ac:dyDescent="0.2">
      <c r="B458" t="s">
        <v>285</v>
      </c>
      <c r="C458" t="s">
        <v>476</v>
      </c>
      <c r="D458" t="s">
        <v>91</v>
      </c>
      <c r="G458">
        <v>1</v>
      </c>
      <c r="H458">
        <v>0</v>
      </c>
      <c r="I458">
        <v>1</v>
      </c>
      <c r="K458" s="1">
        <v>10</v>
      </c>
      <c r="L458" s="1">
        <v>0</v>
      </c>
      <c r="M458" s="1">
        <f t="shared" si="21"/>
        <v>10</v>
      </c>
      <c r="N458" s="11">
        <f t="shared" si="22"/>
        <v>10</v>
      </c>
    </row>
    <row r="459" spans="2:14" x14ac:dyDescent="0.2">
      <c r="B459" t="s">
        <v>285</v>
      </c>
      <c r="C459" t="s">
        <v>477</v>
      </c>
      <c r="D459" t="s">
        <v>95</v>
      </c>
      <c r="G459">
        <v>1</v>
      </c>
      <c r="H459">
        <v>0</v>
      </c>
      <c r="I459">
        <v>1</v>
      </c>
      <c r="K459" s="1">
        <v>10</v>
      </c>
      <c r="L459" s="1">
        <v>0</v>
      </c>
      <c r="M459" s="1">
        <f t="shared" si="21"/>
        <v>10</v>
      </c>
      <c r="N459" s="11">
        <f t="shared" si="22"/>
        <v>10</v>
      </c>
    </row>
    <row r="460" spans="2:14" x14ac:dyDescent="0.2">
      <c r="B460" t="s">
        <v>285</v>
      </c>
      <c r="C460" t="s">
        <v>478</v>
      </c>
      <c r="D460" t="s">
        <v>91</v>
      </c>
      <c r="G460">
        <v>1</v>
      </c>
      <c r="H460">
        <v>0</v>
      </c>
      <c r="I460">
        <v>1</v>
      </c>
      <c r="K460" s="1">
        <v>10</v>
      </c>
      <c r="L460" s="1">
        <v>0</v>
      </c>
      <c r="M460" s="1">
        <f t="shared" si="21"/>
        <v>10</v>
      </c>
      <c r="N460" s="11">
        <f t="shared" si="22"/>
        <v>10</v>
      </c>
    </row>
    <row r="461" spans="2:14" x14ac:dyDescent="0.2">
      <c r="B461" t="s">
        <v>277</v>
      </c>
      <c r="C461" t="s">
        <v>479</v>
      </c>
      <c r="D461" t="s">
        <v>17</v>
      </c>
      <c r="G461">
        <v>1</v>
      </c>
      <c r="H461">
        <v>0</v>
      </c>
      <c r="I461">
        <v>1</v>
      </c>
      <c r="K461" s="1">
        <v>10</v>
      </c>
      <c r="L461" s="1">
        <v>0</v>
      </c>
      <c r="M461" s="1">
        <f t="shared" si="21"/>
        <v>10</v>
      </c>
      <c r="N461" s="11">
        <f t="shared" si="22"/>
        <v>10</v>
      </c>
    </row>
    <row r="462" spans="2:14" x14ac:dyDescent="0.2">
      <c r="B462" t="s">
        <v>282</v>
      </c>
      <c r="C462" t="s">
        <v>480</v>
      </c>
      <c r="D462" t="s">
        <v>97</v>
      </c>
      <c r="G462">
        <v>1</v>
      </c>
      <c r="H462">
        <v>0</v>
      </c>
      <c r="I462">
        <v>1</v>
      </c>
      <c r="K462" s="1">
        <v>10</v>
      </c>
      <c r="L462" s="1">
        <v>0</v>
      </c>
      <c r="M462" s="1">
        <f t="shared" si="21"/>
        <v>10</v>
      </c>
      <c r="N462" s="11">
        <f t="shared" si="22"/>
        <v>10</v>
      </c>
    </row>
    <row r="463" spans="2:14" x14ac:dyDescent="0.2">
      <c r="B463" t="s">
        <v>315</v>
      </c>
      <c r="C463" t="s">
        <v>481</v>
      </c>
      <c r="D463" t="s">
        <v>27</v>
      </c>
      <c r="G463">
        <v>1</v>
      </c>
      <c r="H463">
        <v>0</v>
      </c>
      <c r="I463">
        <v>1</v>
      </c>
      <c r="K463" s="1">
        <v>10</v>
      </c>
      <c r="L463" s="1">
        <v>0</v>
      </c>
      <c r="M463" s="1">
        <f t="shared" si="21"/>
        <v>10</v>
      </c>
      <c r="N463" s="11">
        <f t="shared" si="22"/>
        <v>10</v>
      </c>
    </row>
    <row r="464" spans="2:14" x14ac:dyDescent="0.2">
      <c r="B464" t="s">
        <v>277</v>
      </c>
      <c r="C464" t="s">
        <v>482</v>
      </c>
      <c r="D464" t="s">
        <v>17</v>
      </c>
      <c r="G464">
        <v>1</v>
      </c>
      <c r="H464">
        <v>0</v>
      </c>
      <c r="I464">
        <v>1</v>
      </c>
      <c r="K464" s="1">
        <v>10</v>
      </c>
      <c r="L464" s="1">
        <v>0</v>
      </c>
      <c r="M464" s="1">
        <f t="shared" si="21"/>
        <v>10</v>
      </c>
      <c r="N464" s="11">
        <f t="shared" si="22"/>
        <v>10</v>
      </c>
    </row>
    <row r="465" spans="2:14" x14ac:dyDescent="0.2">
      <c r="B465" t="s">
        <v>282</v>
      </c>
      <c r="C465" t="s">
        <v>483</v>
      </c>
      <c r="D465" t="s">
        <v>97</v>
      </c>
      <c r="G465">
        <v>2</v>
      </c>
      <c r="H465">
        <v>0</v>
      </c>
      <c r="I465">
        <v>2</v>
      </c>
      <c r="K465" s="1">
        <v>10</v>
      </c>
      <c r="L465" s="1">
        <v>0</v>
      </c>
      <c r="M465" s="1">
        <f t="shared" si="21"/>
        <v>10</v>
      </c>
      <c r="N465" s="11">
        <f t="shared" si="22"/>
        <v>20</v>
      </c>
    </row>
    <row r="466" spans="2:14" x14ac:dyDescent="0.2">
      <c r="B466" t="s">
        <v>285</v>
      </c>
      <c r="C466" t="s">
        <v>484</v>
      </c>
      <c r="D466" t="s">
        <v>95</v>
      </c>
      <c r="G466">
        <v>2</v>
      </c>
      <c r="H466">
        <v>0</v>
      </c>
      <c r="I466">
        <v>2</v>
      </c>
      <c r="K466" s="1">
        <v>10</v>
      </c>
      <c r="L466" s="1">
        <v>0</v>
      </c>
      <c r="M466" s="1">
        <f t="shared" si="21"/>
        <v>10</v>
      </c>
      <c r="N466" s="11">
        <f t="shared" si="22"/>
        <v>20</v>
      </c>
    </row>
    <row r="467" spans="2:14" x14ac:dyDescent="0.2">
      <c r="B467" t="s">
        <v>285</v>
      </c>
      <c r="C467" t="s">
        <v>485</v>
      </c>
      <c r="D467" t="s">
        <v>95</v>
      </c>
      <c r="G467">
        <v>1</v>
      </c>
      <c r="H467">
        <v>0</v>
      </c>
      <c r="I467">
        <v>1</v>
      </c>
      <c r="K467" s="1">
        <v>10</v>
      </c>
      <c r="L467" s="1">
        <v>0</v>
      </c>
      <c r="M467" s="1">
        <f t="shared" si="21"/>
        <v>10</v>
      </c>
      <c r="N467" s="11">
        <f t="shared" si="22"/>
        <v>10</v>
      </c>
    </row>
    <row r="468" spans="2:14" x14ac:dyDescent="0.2">
      <c r="B468" t="s">
        <v>282</v>
      </c>
      <c r="C468" t="s">
        <v>357</v>
      </c>
      <c r="D468" t="s">
        <v>97</v>
      </c>
      <c r="G468">
        <v>1</v>
      </c>
      <c r="H468">
        <v>0</v>
      </c>
      <c r="I468">
        <v>1</v>
      </c>
      <c r="K468" s="1">
        <v>10</v>
      </c>
      <c r="L468" s="1">
        <v>0</v>
      </c>
      <c r="M468" s="1">
        <f t="shared" si="21"/>
        <v>10</v>
      </c>
      <c r="N468" s="11">
        <f t="shared" si="22"/>
        <v>10</v>
      </c>
    </row>
    <row r="469" spans="2:14" x14ac:dyDescent="0.2">
      <c r="B469" t="s">
        <v>285</v>
      </c>
      <c r="C469" t="s">
        <v>486</v>
      </c>
      <c r="D469" t="s">
        <v>91</v>
      </c>
      <c r="G469">
        <v>1</v>
      </c>
      <c r="H469">
        <v>0</v>
      </c>
      <c r="I469">
        <v>1</v>
      </c>
      <c r="K469" s="1">
        <v>10</v>
      </c>
      <c r="L469" s="1">
        <v>0</v>
      </c>
      <c r="M469" s="1">
        <f t="shared" si="21"/>
        <v>10</v>
      </c>
      <c r="N469" s="11">
        <f t="shared" si="22"/>
        <v>10</v>
      </c>
    </row>
    <row r="470" spans="2:14" x14ac:dyDescent="0.2">
      <c r="B470" t="s">
        <v>282</v>
      </c>
      <c r="C470" t="s">
        <v>487</v>
      </c>
      <c r="D470" t="s">
        <v>97</v>
      </c>
      <c r="G470">
        <v>1</v>
      </c>
      <c r="H470">
        <v>0</v>
      </c>
      <c r="I470">
        <v>1</v>
      </c>
      <c r="K470" s="1">
        <v>10</v>
      </c>
      <c r="L470" s="1">
        <v>0</v>
      </c>
      <c r="M470" s="1">
        <f t="shared" si="21"/>
        <v>10</v>
      </c>
      <c r="N470" s="11">
        <f t="shared" si="22"/>
        <v>10</v>
      </c>
    </row>
    <row r="471" spans="2:14" x14ac:dyDescent="0.2">
      <c r="B471" t="s">
        <v>90</v>
      </c>
      <c r="C471" t="s">
        <v>488</v>
      </c>
      <c r="D471" t="s">
        <v>102</v>
      </c>
      <c r="G471">
        <v>1</v>
      </c>
      <c r="H471">
        <v>1</v>
      </c>
      <c r="I471">
        <v>0</v>
      </c>
      <c r="K471" s="1">
        <v>10</v>
      </c>
      <c r="L471" s="1">
        <v>0</v>
      </c>
      <c r="M471" s="1">
        <f t="shared" si="21"/>
        <v>10</v>
      </c>
      <c r="N471" s="11">
        <f t="shared" si="22"/>
        <v>10</v>
      </c>
    </row>
    <row r="472" spans="2:14" x14ac:dyDescent="0.2">
      <c r="B472" t="s">
        <v>90</v>
      </c>
      <c r="C472" t="s">
        <v>489</v>
      </c>
      <c r="D472" t="s">
        <v>102</v>
      </c>
      <c r="G472">
        <v>1</v>
      </c>
      <c r="H472">
        <v>1</v>
      </c>
      <c r="I472">
        <v>0</v>
      </c>
      <c r="K472" s="1">
        <v>10</v>
      </c>
      <c r="L472" s="1">
        <v>0</v>
      </c>
      <c r="M472" s="1">
        <f t="shared" si="21"/>
        <v>10</v>
      </c>
      <c r="N472" s="11">
        <f t="shared" si="22"/>
        <v>10</v>
      </c>
    </row>
    <row r="473" spans="2:14" x14ac:dyDescent="0.2">
      <c r="B473" t="s">
        <v>90</v>
      </c>
      <c r="C473" t="s">
        <v>490</v>
      </c>
      <c r="D473" t="s">
        <v>237</v>
      </c>
      <c r="G473">
        <v>1</v>
      </c>
      <c r="H473">
        <v>1</v>
      </c>
      <c r="I473">
        <v>0</v>
      </c>
      <c r="K473" s="1">
        <v>10</v>
      </c>
      <c r="L473" s="1">
        <v>0</v>
      </c>
      <c r="M473" s="1">
        <f t="shared" si="21"/>
        <v>10</v>
      </c>
      <c r="N473" s="11">
        <f t="shared" si="22"/>
        <v>10</v>
      </c>
    </row>
    <row r="474" spans="2:14" x14ac:dyDescent="0.2">
      <c r="B474" t="s">
        <v>90</v>
      </c>
      <c r="C474" t="s">
        <v>491</v>
      </c>
      <c r="D474" t="s">
        <v>237</v>
      </c>
      <c r="G474">
        <v>1</v>
      </c>
      <c r="H474">
        <v>1</v>
      </c>
      <c r="I474">
        <v>0</v>
      </c>
      <c r="K474" s="1">
        <v>10</v>
      </c>
      <c r="L474" s="1">
        <v>0</v>
      </c>
      <c r="M474" s="1">
        <f t="shared" si="21"/>
        <v>10</v>
      </c>
      <c r="N474" s="11">
        <f t="shared" si="22"/>
        <v>10</v>
      </c>
    </row>
    <row r="475" spans="2:14" x14ac:dyDescent="0.2">
      <c r="B475" t="s">
        <v>90</v>
      </c>
      <c r="C475" t="s">
        <v>492</v>
      </c>
      <c r="D475" t="s">
        <v>237</v>
      </c>
      <c r="G475">
        <v>1</v>
      </c>
      <c r="H475">
        <v>1</v>
      </c>
      <c r="I475">
        <v>0</v>
      </c>
      <c r="K475" s="1">
        <v>10</v>
      </c>
      <c r="L475" s="1">
        <v>0</v>
      </c>
      <c r="M475" s="1">
        <f t="shared" si="21"/>
        <v>10</v>
      </c>
      <c r="N475" s="11">
        <f t="shared" si="22"/>
        <v>10</v>
      </c>
    </row>
    <row r="476" spans="2:14" x14ac:dyDescent="0.2">
      <c r="B476" t="s">
        <v>121</v>
      </c>
      <c r="C476" t="s">
        <v>493</v>
      </c>
      <c r="D476" t="s">
        <v>17</v>
      </c>
      <c r="G476">
        <v>2</v>
      </c>
      <c r="H476">
        <v>2</v>
      </c>
      <c r="I476">
        <v>0</v>
      </c>
      <c r="K476" s="1">
        <v>11.18</v>
      </c>
      <c r="L476" s="1">
        <v>4.8499999999999996</v>
      </c>
      <c r="M476" s="1">
        <f t="shared" si="21"/>
        <v>16.03</v>
      </c>
      <c r="N476" s="11">
        <f t="shared" si="22"/>
        <v>22.36</v>
      </c>
    </row>
    <row r="477" spans="2:14" x14ac:dyDescent="0.2">
      <c r="B477" t="s">
        <v>121</v>
      </c>
      <c r="C477" t="s">
        <v>494</v>
      </c>
      <c r="D477" t="s">
        <v>17</v>
      </c>
      <c r="G477">
        <v>2</v>
      </c>
      <c r="H477">
        <v>2</v>
      </c>
      <c r="I477">
        <v>0</v>
      </c>
      <c r="K477" s="1">
        <v>11.18</v>
      </c>
      <c r="L477" s="1">
        <v>4.8499999999999996</v>
      </c>
      <c r="M477" s="1">
        <f t="shared" si="21"/>
        <v>16.03</v>
      </c>
      <c r="N477" s="11">
        <f t="shared" si="22"/>
        <v>22.36</v>
      </c>
    </row>
    <row r="478" spans="2:14" x14ac:dyDescent="0.2">
      <c r="B478" t="s">
        <v>121</v>
      </c>
      <c r="C478" t="s">
        <v>495</v>
      </c>
      <c r="D478" t="s">
        <v>17</v>
      </c>
      <c r="G478">
        <v>2</v>
      </c>
      <c r="H478">
        <v>2</v>
      </c>
      <c r="I478">
        <v>0</v>
      </c>
      <c r="K478" s="1">
        <v>11.18</v>
      </c>
      <c r="L478" s="1">
        <v>4.8499999999999996</v>
      </c>
      <c r="M478" s="1">
        <f t="shared" si="21"/>
        <v>16.03</v>
      </c>
      <c r="N478" s="11">
        <f t="shared" si="22"/>
        <v>22.36</v>
      </c>
    </row>
    <row r="479" spans="2:14" x14ac:dyDescent="0.2">
      <c r="B479" t="s">
        <v>121</v>
      </c>
      <c r="C479" t="s">
        <v>493</v>
      </c>
      <c r="D479" t="s">
        <v>34</v>
      </c>
      <c r="G479">
        <v>2</v>
      </c>
      <c r="H479">
        <v>2</v>
      </c>
      <c r="I479">
        <v>0</v>
      </c>
      <c r="K479" s="1">
        <v>11.18</v>
      </c>
      <c r="L479" s="1">
        <v>4.8499999999999996</v>
      </c>
      <c r="M479" s="1">
        <f t="shared" si="21"/>
        <v>16.03</v>
      </c>
      <c r="N479" s="11">
        <f t="shared" si="22"/>
        <v>22.36</v>
      </c>
    </row>
    <row r="480" spans="2:14" x14ac:dyDescent="0.2">
      <c r="B480" t="s">
        <v>121</v>
      </c>
      <c r="C480" t="s">
        <v>494</v>
      </c>
      <c r="D480" t="s">
        <v>34</v>
      </c>
      <c r="G480">
        <v>2</v>
      </c>
      <c r="H480">
        <v>2</v>
      </c>
      <c r="I480">
        <v>0</v>
      </c>
      <c r="K480" s="1">
        <v>11.18</v>
      </c>
      <c r="L480" s="1">
        <v>4.8499999999999996</v>
      </c>
      <c r="M480" s="1">
        <f t="shared" si="21"/>
        <v>16.03</v>
      </c>
      <c r="N480" s="11">
        <f t="shared" si="22"/>
        <v>22.36</v>
      </c>
    </row>
    <row r="481" spans="2:14" x14ac:dyDescent="0.2">
      <c r="B481" t="s">
        <v>121</v>
      </c>
      <c r="C481" t="s">
        <v>495</v>
      </c>
      <c r="D481" t="s">
        <v>34</v>
      </c>
      <c r="G481">
        <v>2</v>
      </c>
      <c r="H481">
        <v>2</v>
      </c>
      <c r="I481">
        <v>0</v>
      </c>
      <c r="K481" s="1">
        <v>11.18</v>
      </c>
      <c r="L481" s="1">
        <v>4.8499999999999996</v>
      </c>
      <c r="M481" s="1">
        <f t="shared" si="21"/>
        <v>16.03</v>
      </c>
      <c r="N481" s="11">
        <f t="shared" si="22"/>
        <v>22.36</v>
      </c>
    </row>
    <row r="482" spans="2:14" x14ac:dyDescent="0.2">
      <c r="B482" t="s">
        <v>112</v>
      </c>
      <c r="C482" t="s">
        <v>493</v>
      </c>
      <c r="D482" t="s">
        <v>97</v>
      </c>
      <c r="G482">
        <v>2</v>
      </c>
      <c r="H482">
        <v>2</v>
      </c>
      <c r="I482">
        <v>0</v>
      </c>
      <c r="K482" s="1">
        <v>11.18</v>
      </c>
      <c r="L482" s="1">
        <v>4.8499999999999996</v>
      </c>
      <c r="M482" s="1">
        <f t="shared" si="21"/>
        <v>16.03</v>
      </c>
      <c r="N482" s="11">
        <f t="shared" si="22"/>
        <v>22.36</v>
      </c>
    </row>
    <row r="483" spans="2:14" x14ac:dyDescent="0.2">
      <c r="B483" t="s">
        <v>112</v>
      </c>
      <c r="C483" t="s">
        <v>494</v>
      </c>
      <c r="D483" t="s">
        <v>97</v>
      </c>
      <c r="G483">
        <v>2</v>
      </c>
      <c r="H483">
        <v>2</v>
      </c>
      <c r="I483">
        <v>0</v>
      </c>
      <c r="K483" s="1">
        <v>11.18</v>
      </c>
      <c r="L483" s="1">
        <v>4.8499999999999996</v>
      </c>
      <c r="M483" s="1">
        <f t="shared" si="21"/>
        <v>16.03</v>
      </c>
      <c r="N483" s="11">
        <f t="shared" si="22"/>
        <v>22.36</v>
      </c>
    </row>
    <row r="484" spans="2:14" x14ac:dyDescent="0.2">
      <c r="B484" t="s">
        <v>112</v>
      </c>
      <c r="C484" t="s">
        <v>495</v>
      </c>
      <c r="D484" t="s">
        <v>97</v>
      </c>
      <c r="G484">
        <v>2</v>
      </c>
      <c r="H484">
        <v>2</v>
      </c>
      <c r="I484">
        <v>0</v>
      </c>
      <c r="K484" s="1">
        <v>11.18</v>
      </c>
      <c r="L484" s="1">
        <v>4.8499999999999996</v>
      </c>
      <c r="M484" s="1">
        <f t="shared" si="21"/>
        <v>16.03</v>
      </c>
      <c r="N484" s="11">
        <f t="shared" si="22"/>
        <v>22.36</v>
      </c>
    </row>
    <row r="485" spans="2:14" x14ac:dyDescent="0.2">
      <c r="B485" t="s">
        <v>110</v>
      </c>
      <c r="C485" t="s">
        <v>493</v>
      </c>
      <c r="D485" t="s">
        <v>91</v>
      </c>
      <c r="G485">
        <v>2</v>
      </c>
      <c r="H485">
        <v>2</v>
      </c>
      <c r="I485">
        <v>0</v>
      </c>
      <c r="K485" s="1">
        <v>11.18</v>
      </c>
      <c r="L485" s="1">
        <v>4.8499999999999996</v>
      </c>
      <c r="M485" s="1">
        <f t="shared" si="21"/>
        <v>16.03</v>
      </c>
      <c r="N485" s="11">
        <f t="shared" si="22"/>
        <v>22.36</v>
      </c>
    </row>
    <row r="486" spans="2:14" x14ac:dyDescent="0.2">
      <c r="B486" t="s">
        <v>110</v>
      </c>
      <c r="C486" t="s">
        <v>494</v>
      </c>
      <c r="D486" t="s">
        <v>91</v>
      </c>
      <c r="G486">
        <v>2</v>
      </c>
      <c r="H486">
        <v>2</v>
      </c>
      <c r="I486">
        <v>0</v>
      </c>
      <c r="K486" s="1">
        <v>11.18</v>
      </c>
      <c r="L486" s="1">
        <v>4.8499999999999996</v>
      </c>
      <c r="M486" s="1">
        <f t="shared" si="21"/>
        <v>16.03</v>
      </c>
      <c r="N486" s="11">
        <f t="shared" si="22"/>
        <v>22.36</v>
      </c>
    </row>
    <row r="487" spans="2:14" x14ac:dyDescent="0.2">
      <c r="B487" t="s">
        <v>110</v>
      </c>
      <c r="C487" t="s">
        <v>495</v>
      </c>
      <c r="D487" t="s">
        <v>91</v>
      </c>
      <c r="G487">
        <v>2</v>
      </c>
      <c r="H487">
        <v>2</v>
      </c>
      <c r="I487">
        <v>0</v>
      </c>
      <c r="K487" s="1">
        <v>11.18</v>
      </c>
      <c r="L487" s="1">
        <v>4.8499999999999996</v>
      </c>
      <c r="M487" s="1">
        <f t="shared" si="21"/>
        <v>16.03</v>
      </c>
      <c r="N487" s="11">
        <f t="shared" si="22"/>
        <v>22.36</v>
      </c>
    </row>
    <row r="488" spans="2:14" x14ac:dyDescent="0.2">
      <c r="B488" t="s">
        <v>96</v>
      </c>
      <c r="C488" t="s">
        <v>496</v>
      </c>
      <c r="D488" t="s">
        <v>378</v>
      </c>
      <c r="G488">
        <v>2</v>
      </c>
      <c r="H488">
        <v>2</v>
      </c>
      <c r="I488">
        <v>0</v>
      </c>
      <c r="K488" s="1">
        <v>27.62</v>
      </c>
      <c r="L488" s="1">
        <v>4.8499999999999996</v>
      </c>
      <c r="M488" s="1">
        <f t="shared" si="21"/>
        <v>32.47</v>
      </c>
      <c r="N488" s="11">
        <f t="shared" si="22"/>
        <v>55.24</v>
      </c>
    </row>
    <row r="489" spans="2:14" x14ac:dyDescent="0.2">
      <c r="B489" t="s">
        <v>497</v>
      </c>
      <c r="C489" t="s">
        <v>496</v>
      </c>
      <c r="D489" t="s">
        <v>377</v>
      </c>
      <c r="G489">
        <v>2</v>
      </c>
      <c r="H489">
        <v>2</v>
      </c>
      <c r="I489">
        <v>0</v>
      </c>
      <c r="K489" s="1">
        <v>27.62</v>
      </c>
      <c r="L489" s="1">
        <v>4.8499999999999996</v>
      </c>
      <c r="M489" s="1">
        <f t="shared" si="21"/>
        <v>32.47</v>
      </c>
      <c r="N489" s="11">
        <f t="shared" si="22"/>
        <v>55.24</v>
      </c>
    </row>
    <row r="490" spans="2:14" x14ac:dyDescent="0.2">
      <c r="B490" t="s">
        <v>93</v>
      </c>
      <c r="C490" t="s">
        <v>496</v>
      </c>
      <c r="D490" t="s">
        <v>380</v>
      </c>
      <c r="G490">
        <v>2</v>
      </c>
      <c r="H490">
        <v>2</v>
      </c>
      <c r="I490">
        <v>0</v>
      </c>
      <c r="K490" s="1">
        <v>27.62</v>
      </c>
      <c r="L490" s="1">
        <v>4.8499999999999996</v>
      </c>
      <c r="M490" s="1">
        <f t="shared" si="21"/>
        <v>32.47</v>
      </c>
      <c r="N490" s="11">
        <f t="shared" si="22"/>
        <v>55.24</v>
      </c>
    </row>
    <row r="491" spans="2:14" x14ac:dyDescent="0.2">
      <c r="B491" t="s">
        <v>498</v>
      </c>
      <c r="C491" t="s">
        <v>499</v>
      </c>
      <c r="D491" t="s">
        <v>385</v>
      </c>
      <c r="G491">
        <v>2</v>
      </c>
      <c r="H491">
        <v>2</v>
      </c>
      <c r="I491">
        <v>0</v>
      </c>
      <c r="K491" s="1">
        <v>35.51</v>
      </c>
      <c r="L491" s="1">
        <v>4.8499999999999996</v>
      </c>
      <c r="M491" s="1">
        <f t="shared" si="21"/>
        <v>40.36</v>
      </c>
      <c r="N491" s="11">
        <f t="shared" si="22"/>
        <v>71.02</v>
      </c>
    </row>
    <row r="492" spans="2:14" x14ac:dyDescent="0.2">
      <c r="B492" t="s">
        <v>498</v>
      </c>
      <c r="C492" t="s">
        <v>499</v>
      </c>
      <c r="D492" t="s">
        <v>384</v>
      </c>
      <c r="G492">
        <v>2</v>
      </c>
      <c r="H492">
        <v>2</v>
      </c>
      <c r="I492">
        <v>0</v>
      </c>
      <c r="K492" s="1">
        <v>35.51</v>
      </c>
      <c r="L492" s="1">
        <v>4.8499999999999996</v>
      </c>
      <c r="M492" s="1">
        <f t="shared" si="21"/>
        <v>40.36</v>
      </c>
      <c r="N492" s="11">
        <f t="shared" si="22"/>
        <v>71.02</v>
      </c>
    </row>
    <row r="493" spans="2:14" x14ac:dyDescent="0.2">
      <c r="B493" t="s">
        <v>498</v>
      </c>
      <c r="C493" t="s">
        <v>499</v>
      </c>
      <c r="D493" t="s">
        <v>156</v>
      </c>
      <c r="G493">
        <v>2</v>
      </c>
      <c r="H493">
        <v>2</v>
      </c>
      <c r="I493">
        <v>0</v>
      </c>
      <c r="K493" s="1">
        <v>35.51</v>
      </c>
      <c r="L493" s="1">
        <v>4.8499999999999996</v>
      </c>
      <c r="M493" s="1">
        <f t="shared" si="21"/>
        <v>40.36</v>
      </c>
      <c r="N493" s="11">
        <f t="shared" si="22"/>
        <v>71.02</v>
      </c>
    </row>
    <row r="494" spans="2:14" x14ac:dyDescent="0.2">
      <c r="B494" t="s">
        <v>498</v>
      </c>
      <c r="C494" t="s">
        <v>499</v>
      </c>
      <c r="D494" t="s">
        <v>158</v>
      </c>
      <c r="G494">
        <v>1</v>
      </c>
      <c r="H494">
        <v>1</v>
      </c>
      <c r="I494">
        <v>0</v>
      </c>
      <c r="K494" s="1">
        <v>35.51</v>
      </c>
      <c r="L494" s="1">
        <v>4.8499999999999996</v>
      </c>
      <c r="M494" s="1">
        <f t="shared" si="21"/>
        <v>40.36</v>
      </c>
      <c r="N494" s="11">
        <f t="shared" si="22"/>
        <v>35.51</v>
      </c>
    </row>
    <row r="495" spans="2:14" x14ac:dyDescent="0.2">
      <c r="B495" t="s">
        <v>394</v>
      </c>
      <c r="C495" t="s">
        <v>500</v>
      </c>
      <c r="D495" t="s">
        <v>501</v>
      </c>
      <c r="G495">
        <v>2</v>
      </c>
      <c r="H495">
        <v>2</v>
      </c>
      <c r="I495">
        <v>0</v>
      </c>
      <c r="K495" s="1">
        <v>12.31</v>
      </c>
      <c r="L495" s="1">
        <v>4.8499999999999996</v>
      </c>
      <c r="M495" s="1">
        <f t="shared" si="21"/>
        <v>17.16</v>
      </c>
      <c r="N495" s="11">
        <f t="shared" si="22"/>
        <v>24.62</v>
      </c>
    </row>
    <row r="496" spans="2:14" x14ac:dyDescent="0.2">
      <c r="B496" t="s">
        <v>394</v>
      </c>
      <c r="C496" t="s">
        <v>502</v>
      </c>
      <c r="D496" t="s">
        <v>501</v>
      </c>
      <c r="G496">
        <v>2</v>
      </c>
      <c r="H496">
        <v>2</v>
      </c>
      <c r="I496">
        <v>0</v>
      </c>
      <c r="K496" s="1">
        <v>12.31</v>
      </c>
      <c r="L496" s="1">
        <v>4.8499999999999996</v>
      </c>
      <c r="M496" s="1">
        <f t="shared" si="21"/>
        <v>17.16</v>
      </c>
      <c r="N496" s="11">
        <f t="shared" si="22"/>
        <v>24.62</v>
      </c>
    </row>
    <row r="497" spans="1:14" x14ac:dyDescent="0.2">
      <c r="B497" t="s">
        <v>394</v>
      </c>
      <c r="C497" t="s">
        <v>503</v>
      </c>
      <c r="D497" t="s">
        <v>34</v>
      </c>
      <c r="G497">
        <v>1</v>
      </c>
      <c r="H497">
        <v>1</v>
      </c>
      <c r="I497">
        <v>0</v>
      </c>
      <c r="K497" s="1">
        <v>7.99</v>
      </c>
      <c r="L497" s="1">
        <v>4.8499999999999996</v>
      </c>
      <c r="M497" s="1">
        <f t="shared" si="21"/>
        <v>12.84</v>
      </c>
      <c r="N497" s="11">
        <f t="shared" si="22"/>
        <v>7.99</v>
      </c>
    </row>
    <row r="498" spans="1:14" x14ac:dyDescent="0.2">
      <c r="B498" t="s">
        <v>416</v>
      </c>
      <c r="C498" t="s">
        <v>504</v>
      </c>
      <c r="D498" t="s">
        <v>261</v>
      </c>
      <c r="G498">
        <v>2</v>
      </c>
      <c r="H498">
        <v>2</v>
      </c>
      <c r="I498">
        <v>0</v>
      </c>
      <c r="K498" s="1">
        <v>10</v>
      </c>
      <c r="L498" s="1">
        <v>0</v>
      </c>
      <c r="M498" s="1">
        <f t="shared" si="21"/>
        <v>10</v>
      </c>
      <c r="N498" s="11">
        <f t="shared" si="22"/>
        <v>20</v>
      </c>
    </row>
    <row r="499" spans="1:14" x14ac:dyDescent="0.2">
      <c r="A499" t="s">
        <v>505</v>
      </c>
      <c r="B499" t="s">
        <v>414</v>
      </c>
      <c r="C499" t="s">
        <v>506</v>
      </c>
      <c r="D499" t="s">
        <v>34</v>
      </c>
      <c r="G499">
        <v>1</v>
      </c>
      <c r="H499">
        <v>0</v>
      </c>
      <c r="I499">
        <v>1</v>
      </c>
      <c r="K499" s="1">
        <v>9</v>
      </c>
      <c r="L499" s="1">
        <v>5</v>
      </c>
      <c r="M499" s="1">
        <f t="shared" si="21"/>
        <v>14</v>
      </c>
      <c r="N499" s="11">
        <f t="shared" si="22"/>
        <v>9</v>
      </c>
    </row>
    <row r="500" spans="1:14" x14ac:dyDescent="0.2">
      <c r="A500" t="s">
        <v>507</v>
      </c>
      <c r="B500" t="s">
        <v>416</v>
      </c>
      <c r="C500" t="s">
        <v>506</v>
      </c>
      <c r="D500" t="s">
        <v>97</v>
      </c>
      <c r="G500">
        <v>1</v>
      </c>
      <c r="H500">
        <v>0</v>
      </c>
      <c r="I500">
        <v>1</v>
      </c>
      <c r="K500" s="1">
        <v>9</v>
      </c>
      <c r="L500" s="1">
        <v>5</v>
      </c>
      <c r="M500" s="1">
        <f t="shared" si="21"/>
        <v>14</v>
      </c>
      <c r="N500" s="11">
        <f t="shared" si="22"/>
        <v>9</v>
      </c>
    </row>
    <row r="501" spans="1:14" x14ac:dyDescent="0.2">
      <c r="A501" t="s">
        <v>508</v>
      </c>
      <c r="B501" t="s">
        <v>414</v>
      </c>
      <c r="C501" t="s">
        <v>509</v>
      </c>
      <c r="D501" t="s">
        <v>34</v>
      </c>
      <c r="G501">
        <v>1</v>
      </c>
      <c r="H501">
        <v>0</v>
      </c>
      <c r="I501">
        <v>1</v>
      </c>
      <c r="K501" s="1">
        <v>9</v>
      </c>
      <c r="L501" s="1">
        <v>5</v>
      </c>
      <c r="M501" s="1">
        <f t="shared" si="21"/>
        <v>14</v>
      </c>
      <c r="N501" s="11">
        <f t="shared" si="22"/>
        <v>9</v>
      </c>
    </row>
    <row r="502" spans="1:14" x14ac:dyDescent="0.2">
      <c r="A502" t="s">
        <v>510</v>
      </c>
      <c r="B502" t="s">
        <v>422</v>
      </c>
      <c r="C502" t="s">
        <v>511</v>
      </c>
      <c r="D502" t="s">
        <v>102</v>
      </c>
      <c r="G502">
        <v>1</v>
      </c>
      <c r="H502">
        <v>1</v>
      </c>
      <c r="I502">
        <v>0</v>
      </c>
      <c r="K502" s="1">
        <v>5</v>
      </c>
      <c r="L502" s="1">
        <v>1.8</v>
      </c>
      <c r="M502" s="1">
        <f t="shared" si="21"/>
        <v>6.8</v>
      </c>
      <c r="N502" s="11">
        <f t="shared" si="22"/>
        <v>5</v>
      </c>
    </row>
    <row r="503" spans="1:14" x14ac:dyDescent="0.2">
      <c r="A503" t="s">
        <v>512</v>
      </c>
      <c r="B503" t="s">
        <v>422</v>
      </c>
      <c r="C503" t="s">
        <v>513</v>
      </c>
      <c r="D503" t="s">
        <v>95</v>
      </c>
      <c r="G503">
        <v>1</v>
      </c>
      <c r="H503">
        <v>1</v>
      </c>
      <c r="I503">
        <v>0</v>
      </c>
      <c r="K503" s="1">
        <v>7.5</v>
      </c>
      <c r="L503" s="1">
        <v>5</v>
      </c>
      <c r="M503" s="1">
        <f t="shared" si="21"/>
        <v>12.5</v>
      </c>
      <c r="N503" s="11">
        <f t="shared" si="22"/>
        <v>7.5</v>
      </c>
    </row>
    <row r="504" spans="1:14" x14ac:dyDescent="0.2">
      <c r="A504" t="s">
        <v>514</v>
      </c>
      <c r="B504" t="s">
        <v>422</v>
      </c>
      <c r="C504" t="s">
        <v>515</v>
      </c>
      <c r="D504" t="s">
        <v>102</v>
      </c>
      <c r="G504">
        <v>2</v>
      </c>
      <c r="H504">
        <v>2</v>
      </c>
      <c r="I504">
        <v>1</v>
      </c>
      <c r="K504" s="1">
        <v>8.25</v>
      </c>
      <c r="L504" s="1">
        <v>1.8</v>
      </c>
      <c r="M504" s="1">
        <f t="shared" si="21"/>
        <v>10.050000000000001</v>
      </c>
      <c r="N504" s="11">
        <f t="shared" si="22"/>
        <v>16.5</v>
      </c>
    </row>
    <row r="505" spans="1:14" x14ac:dyDescent="0.2">
      <c r="B505" t="s">
        <v>422</v>
      </c>
      <c r="C505" t="s">
        <v>516</v>
      </c>
      <c r="D505" t="s">
        <v>102</v>
      </c>
      <c r="G505">
        <v>1</v>
      </c>
      <c r="H505">
        <v>1</v>
      </c>
      <c r="I505">
        <v>0</v>
      </c>
      <c r="K505" s="1">
        <v>7</v>
      </c>
      <c r="L505" s="1">
        <v>0</v>
      </c>
      <c r="M505" s="1">
        <f t="shared" ref="M505:M568" si="23">K505+L505</f>
        <v>7</v>
      </c>
      <c r="N505" s="11">
        <f t="shared" si="22"/>
        <v>7</v>
      </c>
    </row>
    <row r="506" spans="1:14" x14ac:dyDescent="0.2">
      <c r="A506" t="s">
        <v>517</v>
      </c>
      <c r="B506" t="s">
        <v>416</v>
      </c>
      <c r="C506" t="s">
        <v>518</v>
      </c>
      <c r="D506" t="s">
        <v>261</v>
      </c>
      <c r="G506">
        <v>1</v>
      </c>
      <c r="H506">
        <v>1</v>
      </c>
      <c r="I506">
        <v>0</v>
      </c>
      <c r="K506" s="1">
        <v>7</v>
      </c>
      <c r="L506" s="1">
        <v>10.5</v>
      </c>
      <c r="M506" s="1">
        <f t="shared" si="23"/>
        <v>17.5</v>
      </c>
      <c r="N506" s="11">
        <f t="shared" si="22"/>
        <v>7</v>
      </c>
    </row>
    <row r="507" spans="1:14" x14ac:dyDescent="0.2">
      <c r="B507" t="s">
        <v>422</v>
      </c>
      <c r="C507" t="s">
        <v>518</v>
      </c>
      <c r="D507" t="s">
        <v>237</v>
      </c>
      <c r="G507">
        <v>1</v>
      </c>
      <c r="H507">
        <v>1</v>
      </c>
      <c r="I507">
        <v>0</v>
      </c>
      <c r="K507" s="1">
        <v>7</v>
      </c>
      <c r="L507" s="1">
        <v>10.5</v>
      </c>
      <c r="M507" s="1">
        <f t="shared" si="23"/>
        <v>17.5</v>
      </c>
      <c r="N507" s="11">
        <f t="shared" si="22"/>
        <v>7</v>
      </c>
    </row>
    <row r="508" spans="1:14" x14ac:dyDescent="0.2">
      <c r="B508" t="s">
        <v>422</v>
      </c>
      <c r="C508" t="s">
        <v>519</v>
      </c>
      <c r="D508" t="s">
        <v>239</v>
      </c>
      <c r="G508">
        <v>1</v>
      </c>
      <c r="H508">
        <v>1</v>
      </c>
      <c r="I508">
        <v>0</v>
      </c>
      <c r="K508" s="1">
        <v>10</v>
      </c>
      <c r="L508" s="1">
        <v>0</v>
      </c>
      <c r="M508" s="1">
        <f t="shared" si="23"/>
        <v>10</v>
      </c>
      <c r="N508" s="11">
        <f t="shared" si="22"/>
        <v>10</v>
      </c>
    </row>
    <row r="509" spans="1:14" x14ac:dyDescent="0.2">
      <c r="B509" t="s">
        <v>422</v>
      </c>
      <c r="C509" t="s">
        <v>520</v>
      </c>
      <c r="D509" t="s">
        <v>91</v>
      </c>
      <c r="G509">
        <v>1</v>
      </c>
      <c r="H509">
        <v>1</v>
      </c>
      <c r="I509">
        <v>0</v>
      </c>
      <c r="K509" s="1">
        <v>10</v>
      </c>
      <c r="L509" s="1">
        <v>0</v>
      </c>
      <c r="M509" s="1">
        <f t="shared" si="23"/>
        <v>10</v>
      </c>
      <c r="N509" s="11">
        <f t="shared" si="22"/>
        <v>10</v>
      </c>
    </row>
    <row r="510" spans="1:14" x14ac:dyDescent="0.2">
      <c r="B510" t="s">
        <v>422</v>
      </c>
      <c r="C510" t="s">
        <v>521</v>
      </c>
      <c r="D510" t="s">
        <v>91</v>
      </c>
      <c r="G510">
        <v>1</v>
      </c>
      <c r="H510">
        <v>1</v>
      </c>
      <c r="I510">
        <v>0</v>
      </c>
      <c r="K510" s="1">
        <v>10</v>
      </c>
      <c r="L510" s="1">
        <v>0</v>
      </c>
      <c r="M510" s="1">
        <f t="shared" si="23"/>
        <v>10</v>
      </c>
      <c r="N510" s="11">
        <f t="shared" si="22"/>
        <v>10</v>
      </c>
    </row>
    <row r="511" spans="1:14" x14ac:dyDescent="0.2">
      <c r="B511" t="s">
        <v>422</v>
      </c>
      <c r="C511" t="s">
        <v>522</v>
      </c>
      <c r="D511" t="s">
        <v>91</v>
      </c>
      <c r="G511">
        <v>1</v>
      </c>
      <c r="H511">
        <v>1</v>
      </c>
      <c r="I511">
        <v>0</v>
      </c>
      <c r="K511" s="1">
        <v>10</v>
      </c>
      <c r="L511" s="1">
        <v>0</v>
      </c>
      <c r="M511" s="1">
        <f t="shared" si="23"/>
        <v>10</v>
      </c>
      <c r="N511" s="11">
        <f t="shared" si="22"/>
        <v>10</v>
      </c>
    </row>
    <row r="512" spans="1:14" x14ac:dyDescent="0.2">
      <c r="B512" t="s">
        <v>422</v>
      </c>
      <c r="C512" t="s">
        <v>523</v>
      </c>
      <c r="D512" t="s">
        <v>91</v>
      </c>
      <c r="G512">
        <v>1</v>
      </c>
      <c r="H512">
        <v>1</v>
      </c>
      <c r="I512">
        <v>0</v>
      </c>
      <c r="K512" s="1">
        <v>10</v>
      </c>
      <c r="L512" s="1">
        <v>0</v>
      </c>
      <c r="M512" s="1">
        <f t="shared" si="23"/>
        <v>10</v>
      </c>
      <c r="N512" s="11">
        <f t="shared" si="22"/>
        <v>10</v>
      </c>
    </row>
    <row r="513" spans="2:14" x14ac:dyDescent="0.2">
      <c r="B513" t="s">
        <v>422</v>
      </c>
      <c r="C513" t="s">
        <v>524</v>
      </c>
      <c r="D513" t="s">
        <v>91</v>
      </c>
      <c r="G513">
        <v>1</v>
      </c>
      <c r="H513">
        <v>1</v>
      </c>
      <c r="I513">
        <v>0</v>
      </c>
      <c r="K513" s="1">
        <v>10</v>
      </c>
      <c r="L513" s="1">
        <v>0</v>
      </c>
      <c r="M513" s="1">
        <f t="shared" si="23"/>
        <v>10</v>
      </c>
      <c r="N513" s="11">
        <f t="shared" si="22"/>
        <v>10</v>
      </c>
    </row>
    <row r="514" spans="2:14" x14ac:dyDescent="0.2">
      <c r="B514" t="s">
        <v>416</v>
      </c>
      <c r="C514" t="s">
        <v>525</v>
      </c>
      <c r="D514" t="s">
        <v>97</v>
      </c>
      <c r="G514">
        <v>1</v>
      </c>
      <c r="H514">
        <v>1</v>
      </c>
      <c r="I514">
        <v>0</v>
      </c>
      <c r="K514" s="1">
        <v>10</v>
      </c>
      <c r="L514" s="1">
        <v>0</v>
      </c>
      <c r="M514" s="1">
        <f t="shared" si="23"/>
        <v>10</v>
      </c>
      <c r="N514" s="11">
        <f t="shared" si="22"/>
        <v>10</v>
      </c>
    </row>
    <row r="515" spans="2:14" x14ac:dyDescent="0.2">
      <c r="B515" t="s">
        <v>416</v>
      </c>
      <c r="C515" t="s">
        <v>526</v>
      </c>
      <c r="D515" t="s">
        <v>97</v>
      </c>
      <c r="G515">
        <v>1</v>
      </c>
      <c r="H515">
        <v>1</v>
      </c>
      <c r="I515">
        <v>0</v>
      </c>
      <c r="K515" s="1">
        <v>10</v>
      </c>
      <c r="L515" s="1">
        <v>0</v>
      </c>
      <c r="M515" s="1">
        <f t="shared" si="23"/>
        <v>10</v>
      </c>
      <c r="N515" s="11">
        <f t="shared" ref="N515:N578" si="24">G515*K515</f>
        <v>10</v>
      </c>
    </row>
    <row r="516" spans="2:14" x14ac:dyDescent="0.2">
      <c r="B516" t="s">
        <v>414</v>
      </c>
      <c r="C516" t="s">
        <v>527</v>
      </c>
      <c r="D516" t="s">
        <v>34</v>
      </c>
      <c r="G516">
        <v>1</v>
      </c>
      <c r="H516">
        <v>1</v>
      </c>
      <c r="I516">
        <v>0</v>
      </c>
      <c r="K516" s="1">
        <v>10</v>
      </c>
      <c r="L516" s="1">
        <v>0</v>
      </c>
      <c r="M516" s="1">
        <f t="shared" si="23"/>
        <v>10</v>
      </c>
      <c r="N516" s="11">
        <f t="shared" si="24"/>
        <v>10</v>
      </c>
    </row>
    <row r="517" spans="2:14" x14ac:dyDescent="0.2">
      <c r="B517" t="s">
        <v>414</v>
      </c>
      <c r="C517" t="s">
        <v>528</v>
      </c>
      <c r="D517" t="s">
        <v>34</v>
      </c>
      <c r="G517">
        <v>1</v>
      </c>
      <c r="H517">
        <v>1</v>
      </c>
      <c r="I517">
        <v>0</v>
      </c>
      <c r="K517" s="1">
        <v>10</v>
      </c>
      <c r="L517" s="1">
        <v>0</v>
      </c>
      <c r="M517" s="1">
        <f t="shared" si="23"/>
        <v>10</v>
      </c>
      <c r="N517" s="11">
        <f t="shared" si="24"/>
        <v>10</v>
      </c>
    </row>
    <row r="518" spans="2:14" x14ac:dyDescent="0.2">
      <c r="B518" t="s">
        <v>416</v>
      </c>
      <c r="C518" t="s">
        <v>529</v>
      </c>
      <c r="D518" t="s">
        <v>97</v>
      </c>
      <c r="G518">
        <v>1</v>
      </c>
      <c r="H518">
        <v>1</v>
      </c>
      <c r="I518">
        <v>0</v>
      </c>
      <c r="K518" s="1">
        <v>10</v>
      </c>
      <c r="L518" s="1">
        <v>0</v>
      </c>
      <c r="M518" s="1">
        <f t="shared" si="23"/>
        <v>10</v>
      </c>
      <c r="N518" s="11">
        <f t="shared" si="24"/>
        <v>10</v>
      </c>
    </row>
    <row r="519" spans="2:14" x14ac:dyDescent="0.2">
      <c r="B519" t="s">
        <v>416</v>
      </c>
      <c r="C519" t="s">
        <v>530</v>
      </c>
      <c r="D519" t="s">
        <v>97</v>
      </c>
      <c r="G519">
        <v>2</v>
      </c>
      <c r="H519">
        <v>2</v>
      </c>
      <c r="I519">
        <v>0</v>
      </c>
      <c r="K519" s="1">
        <v>10</v>
      </c>
      <c r="L519" s="1">
        <v>0</v>
      </c>
      <c r="M519" s="1">
        <f t="shared" si="23"/>
        <v>10</v>
      </c>
      <c r="N519" s="11">
        <f t="shared" si="24"/>
        <v>20</v>
      </c>
    </row>
    <row r="520" spans="2:14" x14ac:dyDescent="0.2">
      <c r="B520" t="s">
        <v>416</v>
      </c>
      <c r="C520" t="s">
        <v>531</v>
      </c>
      <c r="D520" t="s">
        <v>97</v>
      </c>
      <c r="G520">
        <v>1</v>
      </c>
      <c r="H520">
        <v>1</v>
      </c>
      <c r="I520">
        <v>0</v>
      </c>
      <c r="K520" s="1">
        <v>10</v>
      </c>
      <c r="L520" s="1">
        <v>0</v>
      </c>
      <c r="M520" s="1">
        <f t="shared" si="23"/>
        <v>10</v>
      </c>
      <c r="N520" s="11">
        <f t="shared" si="24"/>
        <v>10</v>
      </c>
    </row>
    <row r="521" spans="2:14" x14ac:dyDescent="0.2">
      <c r="B521" t="s">
        <v>498</v>
      </c>
      <c r="C521" t="s">
        <v>532</v>
      </c>
      <c r="D521" t="s">
        <v>132</v>
      </c>
      <c r="G521">
        <v>1</v>
      </c>
      <c r="H521">
        <v>1</v>
      </c>
      <c r="I521">
        <v>0</v>
      </c>
      <c r="K521" s="1">
        <v>65</v>
      </c>
      <c r="L521" s="1">
        <v>0</v>
      </c>
      <c r="M521" s="1">
        <f t="shared" si="23"/>
        <v>65</v>
      </c>
      <c r="N521" s="11">
        <f t="shared" si="24"/>
        <v>65</v>
      </c>
    </row>
    <row r="522" spans="2:14" x14ac:dyDescent="0.2">
      <c r="B522" t="s">
        <v>498</v>
      </c>
      <c r="C522" t="s">
        <v>532</v>
      </c>
      <c r="D522" t="s">
        <v>384</v>
      </c>
      <c r="G522">
        <v>1</v>
      </c>
      <c r="H522">
        <v>0</v>
      </c>
      <c r="I522">
        <v>1</v>
      </c>
      <c r="K522" s="1">
        <v>65</v>
      </c>
      <c r="L522" s="1">
        <v>0</v>
      </c>
      <c r="M522" s="1">
        <f t="shared" si="23"/>
        <v>65</v>
      </c>
      <c r="N522" s="11">
        <f t="shared" si="24"/>
        <v>65</v>
      </c>
    </row>
    <row r="523" spans="2:14" x14ac:dyDescent="0.2">
      <c r="B523" t="s">
        <v>498</v>
      </c>
      <c r="C523" t="s">
        <v>533</v>
      </c>
      <c r="D523" t="s">
        <v>130</v>
      </c>
      <c r="G523">
        <v>1</v>
      </c>
      <c r="H523">
        <v>1</v>
      </c>
      <c r="I523">
        <v>0</v>
      </c>
      <c r="K523" s="1">
        <v>65</v>
      </c>
      <c r="L523" s="1">
        <v>0</v>
      </c>
      <c r="M523" s="1">
        <f t="shared" si="23"/>
        <v>65</v>
      </c>
      <c r="N523" s="11">
        <f t="shared" si="24"/>
        <v>65</v>
      </c>
    </row>
    <row r="524" spans="2:14" x14ac:dyDescent="0.2">
      <c r="B524" t="s">
        <v>498</v>
      </c>
      <c r="C524" t="s">
        <v>533</v>
      </c>
      <c r="D524" t="s">
        <v>384</v>
      </c>
      <c r="G524">
        <v>1</v>
      </c>
      <c r="H524">
        <v>1</v>
      </c>
      <c r="I524">
        <v>0</v>
      </c>
      <c r="K524" s="1">
        <v>65</v>
      </c>
      <c r="L524" s="1">
        <v>0</v>
      </c>
      <c r="M524" s="1">
        <f t="shared" si="23"/>
        <v>65</v>
      </c>
      <c r="N524" s="11">
        <f t="shared" si="24"/>
        <v>65</v>
      </c>
    </row>
    <row r="525" spans="2:14" x14ac:dyDescent="0.2">
      <c r="B525" t="s">
        <v>498</v>
      </c>
      <c r="C525" t="s">
        <v>534</v>
      </c>
      <c r="D525" t="s">
        <v>385</v>
      </c>
      <c r="G525">
        <v>1</v>
      </c>
      <c r="H525">
        <v>1</v>
      </c>
      <c r="I525">
        <v>0</v>
      </c>
      <c r="K525" s="1">
        <v>70</v>
      </c>
      <c r="L525" s="1">
        <v>0</v>
      </c>
      <c r="M525" s="1">
        <f t="shared" si="23"/>
        <v>70</v>
      </c>
      <c r="N525" s="11">
        <f t="shared" si="24"/>
        <v>70</v>
      </c>
    </row>
    <row r="526" spans="2:14" x14ac:dyDescent="0.2">
      <c r="B526" t="s">
        <v>498</v>
      </c>
      <c r="C526" t="s">
        <v>534</v>
      </c>
      <c r="D526" t="s">
        <v>130</v>
      </c>
      <c r="G526">
        <v>1</v>
      </c>
      <c r="H526">
        <v>1</v>
      </c>
      <c r="I526">
        <v>0</v>
      </c>
      <c r="K526" s="1">
        <v>70</v>
      </c>
      <c r="L526" s="1">
        <v>0</v>
      </c>
      <c r="M526" s="1">
        <f t="shared" si="23"/>
        <v>70</v>
      </c>
      <c r="N526" s="11">
        <f t="shared" si="24"/>
        <v>70</v>
      </c>
    </row>
    <row r="527" spans="2:14" x14ac:dyDescent="0.2">
      <c r="B527" t="s">
        <v>498</v>
      </c>
      <c r="C527" t="s">
        <v>534</v>
      </c>
      <c r="D527" t="s">
        <v>158</v>
      </c>
      <c r="G527">
        <v>1</v>
      </c>
      <c r="H527">
        <v>1</v>
      </c>
      <c r="I527">
        <v>0</v>
      </c>
      <c r="K527" s="1">
        <v>70</v>
      </c>
      <c r="L527" s="1">
        <v>0</v>
      </c>
      <c r="M527" s="1">
        <f t="shared" si="23"/>
        <v>70</v>
      </c>
      <c r="N527" s="11">
        <f t="shared" si="24"/>
        <v>70</v>
      </c>
    </row>
    <row r="528" spans="2:14" x14ac:dyDescent="0.2">
      <c r="B528" t="s">
        <v>498</v>
      </c>
      <c r="C528" t="s">
        <v>534</v>
      </c>
      <c r="D528" t="s">
        <v>384</v>
      </c>
      <c r="G528">
        <v>1</v>
      </c>
      <c r="H528">
        <v>1</v>
      </c>
      <c r="I528">
        <v>0</v>
      </c>
      <c r="K528" s="1">
        <v>70</v>
      </c>
      <c r="L528" s="1">
        <v>0</v>
      </c>
      <c r="M528" s="1">
        <f t="shared" si="23"/>
        <v>70</v>
      </c>
      <c r="N528" s="11">
        <f t="shared" si="24"/>
        <v>70</v>
      </c>
    </row>
    <row r="529" spans="2:14" x14ac:dyDescent="0.2">
      <c r="B529" t="s">
        <v>498</v>
      </c>
      <c r="C529" t="s">
        <v>535</v>
      </c>
      <c r="D529" t="s">
        <v>130</v>
      </c>
      <c r="G529">
        <v>1</v>
      </c>
      <c r="H529">
        <v>1</v>
      </c>
      <c r="I529">
        <v>0</v>
      </c>
      <c r="K529" s="1">
        <v>50</v>
      </c>
      <c r="L529" s="1">
        <v>0</v>
      </c>
      <c r="M529" s="1">
        <f t="shared" si="23"/>
        <v>50</v>
      </c>
      <c r="N529" s="11">
        <f t="shared" si="24"/>
        <v>50</v>
      </c>
    </row>
    <row r="530" spans="2:14" x14ac:dyDescent="0.2">
      <c r="B530" t="s">
        <v>498</v>
      </c>
      <c r="C530" t="s">
        <v>535</v>
      </c>
      <c r="D530" t="s">
        <v>385</v>
      </c>
      <c r="G530">
        <v>1</v>
      </c>
      <c r="H530">
        <v>1</v>
      </c>
      <c r="I530">
        <v>0</v>
      </c>
      <c r="K530" s="1">
        <v>50</v>
      </c>
      <c r="L530" s="1">
        <v>0</v>
      </c>
      <c r="M530" s="1">
        <f t="shared" si="23"/>
        <v>50</v>
      </c>
      <c r="N530" s="11">
        <f t="shared" si="24"/>
        <v>50</v>
      </c>
    </row>
    <row r="531" spans="2:14" x14ac:dyDescent="0.2">
      <c r="B531" t="s">
        <v>498</v>
      </c>
      <c r="C531" t="s">
        <v>536</v>
      </c>
      <c r="D531" t="s">
        <v>384</v>
      </c>
      <c r="G531">
        <v>1</v>
      </c>
      <c r="H531">
        <v>1</v>
      </c>
      <c r="I531">
        <v>0</v>
      </c>
      <c r="K531" s="1">
        <v>50</v>
      </c>
      <c r="L531" s="1">
        <v>0</v>
      </c>
      <c r="M531" s="1">
        <f t="shared" si="23"/>
        <v>50</v>
      </c>
      <c r="N531" s="11">
        <f t="shared" si="24"/>
        <v>50</v>
      </c>
    </row>
    <row r="532" spans="2:14" x14ac:dyDescent="0.2">
      <c r="B532" t="s">
        <v>498</v>
      </c>
      <c r="C532" t="s">
        <v>537</v>
      </c>
      <c r="D532" t="s">
        <v>130</v>
      </c>
      <c r="G532">
        <v>1</v>
      </c>
      <c r="H532">
        <v>1</v>
      </c>
      <c r="I532">
        <v>0</v>
      </c>
      <c r="K532" s="1">
        <v>40</v>
      </c>
      <c r="L532" s="1">
        <v>0</v>
      </c>
      <c r="M532" s="1">
        <f t="shared" si="23"/>
        <v>40</v>
      </c>
      <c r="N532" s="11">
        <f t="shared" si="24"/>
        <v>40</v>
      </c>
    </row>
    <row r="533" spans="2:14" x14ac:dyDescent="0.2">
      <c r="B533" t="s">
        <v>498</v>
      </c>
      <c r="C533" t="s">
        <v>538</v>
      </c>
      <c r="D533" t="s">
        <v>384</v>
      </c>
      <c r="G533">
        <v>1</v>
      </c>
      <c r="H533">
        <v>1</v>
      </c>
      <c r="I533">
        <v>0</v>
      </c>
      <c r="K533" s="1">
        <v>40</v>
      </c>
      <c r="L533" s="1">
        <v>0</v>
      </c>
      <c r="M533" s="1">
        <f t="shared" si="23"/>
        <v>40</v>
      </c>
      <c r="N533" s="11">
        <f t="shared" si="24"/>
        <v>40</v>
      </c>
    </row>
    <row r="534" spans="2:14" x14ac:dyDescent="0.2">
      <c r="B534" t="s">
        <v>498</v>
      </c>
      <c r="C534" t="s">
        <v>539</v>
      </c>
      <c r="D534" t="s">
        <v>132</v>
      </c>
      <c r="G534">
        <v>1</v>
      </c>
      <c r="H534">
        <v>1</v>
      </c>
      <c r="I534">
        <v>0</v>
      </c>
      <c r="K534" s="1">
        <v>40</v>
      </c>
      <c r="L534" s="1">
        <v>0</v>
      </c>
      <c r="M534" s="1">
        <f t="shared" si="23"/>
        <v>40</v>
      </c>
      <c r="N534" s="11">
        <f t="shared" si="24"/>
        <v>40</v>
      </c>
    </row>
    <row r="535" spans="2:14" x14ac:dyDescent="0.2">
      <c r="B535" t="s">
        <v>498</v>
      </c>
      <c r="C535" t="s">
        <v>540</v>
      </c>
      <c r="D535" t="s">
        <v>132</v>
      </c>
      <c r="G535">
        <v>1</v>
      </c>
      <c r="H535">
        <v>1</v>
      </c>
      <c r="I535">
        <v>0</v>
      </c>
      <c r="K535" s="1">
        <v>40</v>
      </c>
      <c r="L535" s="1">
        <v>0</v>
      </c>
      <c r="M535" s="1">
        <f t="shared" si="23"/>
        <v>40</v>
      </c>
      <c r="N535" s="11">
        <f t="shared" si="24"/>
        <v>40</v>
      </c>
    </row>
    <row r="536" spans="2:14" x14ac:dyDescent="0.2">
      <c r="B536" t="s">
        <v>498</v>
      </c>
      <c r="C536" t="s">
        <v>541</v>
      </c>
      <c r="D536" t="s">
        <v>132</v>
      </c>
      <c r="G536">
        <v>1</v>
      </c>
      <c r="H536">
        <v>1</v>
      </c>
      <c r="I536">
        <v>0</v>
      </c>
      <c r="K536" s="1">
        <v>30</v>
      </c>
      <c r="L536" s="1">
        <v>0</v>
      </c>
      <c r="M536" s="1">
        <f t="shared" si="23"/>
        <v>30</v>
      </c>
      <c r="N536" s="11">
        <f t="shared" si="24"/>
        <v>30</v>
      </c>
    </row>
    <row r="537" spans="2:14" x14ac:dyDescent="0.2">
      <c r="B537" t="s">
        <v>126</v>
      </c>
      <c r="C537" t="s">
        <v>542</v>
      </c>
      <c r="D537" t="s">
        <v>131</v>
      </c>
      <c r="G537">
        <v>1</v>
      </c>
      <c r="H537">
        <v>1</v>
      </c>
      <c r="I537">
        <v>0</v>
      </c>
      <c r="K537" s="1">
        <v>40</v>
      </c>
      <c r="L537" s="1">
        <v>0</v>
      </c>
      <c r="M537" s="1">
        <f t="shared" si="23"/>
        <v>40</v>
      </c>
      <c r="N537" s="11">
        <f t="shared" si="24"/>
        <v>40</v>
      </c>
    </row>
    <row r="538" spans="2:14" x14ac:dyDescent="0.2">
      <c r="B538" t="s">
        <v>126</v>
      </c>
      <c r="C538" t="s">
        <v>543</v>
      </c>
      <c r="D538" t="s">
        <v>384</v>
      </c>
      <c r="G538">
        <v>1</v>
      </c>
      <c r="H538">
        <v>1</v>
      </c>
      <c r="I538">
        <v>0</v>
      </c>
      <c r="K538" s="1">
        <v>40</v>
      </c>
      <c r="L538" s="1">
        <v>0</v>
      </c>
      <c r="M538" s="1">
        <f t="shared" si="23"/>
        <v>40</v>
      </c>
      <c r="N538" s="11">
        <f t="shared" si="24"/>
        <v>40</v>
      </c>
    </row>
    <row r="539" spans="2:14" x14ac:dyDescent="0.2">
      <c r="B539" t="s">
        <v>126</v>
      </c>
      <c r="C539" t="s">
        <v>543</v>
      </c>
      <c r="D539" t="s">
        <v>131</v>
      </c>
      <c r="G539">
        <v>1</v>
      </c>
      <c r="H539">
        <v>1</v>
      </c>
      <c r="I539">
        <v>0</v>
      </c>
      <c r="K539" s="1">
        <v>40</v>
      </c>
      <c r="L539" s="1">
        <v>0</v>
      </c>
      <c r="M539" s="1">
        <f t="shared" si="23"/>
        <v>40</v>
      </c>
      <c r="N539" s="11">
        <f t="shared" si="24"/>
        <v>40</v>
      </c>
    </row>
    <row r="540" spans="2:14" x14ac:dyDescent="0.2">
      <c r="B540" t="s">
        <v>126</v>
      </c>
      <c r="C540" t="s">
        <v>544</v>
      </c>
      <c r="D540" t="s">
        <v>132</v>
      </c>
      <c r="G540">
        <v>1</v>
      </c>
      <c r="H540">
        <v>1</v>
      </c>
      <c r="I540">
        <v>0</v>
      </c>
      <c r="K540" s="1">
        <v>40</v>
      </c>
      <c r="L540" s="1">
        <v>0</v>
      </c>
      <c r="M540" s="1">
        <f t="shared" si="23"/>
        <v>40</v>
      </c>
      <c r="N540" s="11">
        <f t="shared" si="24"/>
        <v>40</v>
      </c>
    </row>
    <row r="541" spans="2:14" x14ac:dyDescent="0.2">
      <c r="B541" t="s">
        <v>126</v>
      </c>
      <c r="C541" t="s">
        <v>545</v>
      </c>
      <c r="D541" t="s">
        <v>384</v>
      </c>
      <c r="G541">
        <v>1</v>
      </c>
      <c r="H541">
        <v>1</v>
      </c>
      <c r="I541">
        <v>0</v>
      </c>
      <c r="K541" s="1">
        <v>40</v>
      </c>
      <c r="L541" s="1">
        <v>0</v>
      </c>
      <c r="M541" s="1">
        <f t="shared" si="23"/>
        <v>40</v>
      </c>
      <c r="N541" s="11">
        <f t="shared" si="24"/>
        <v>40</v>
      </c>
    </row>
    <row r="542" spans="2:14" x14ac:dyDescent="0.2">
      <c r="B542" t="s">
        <v>126</v>
      </c>
      <c r="C542" t="s">
        <v>546</v>
      </c>
      <c r="D542" t="s">
        <v>384</v>
      </c>
      <c r="G542">
        <v>1</v>
      </c>
      <c r="H542">
        <v>1</v>
      </c>
      <c r="I542">
        <v>0</v>
      </c>
      <c r="K542" s="1">
        <v>40</v>
      </c>
      <c r="L542" s="1">
        <v>0</v>
      </c>
      <c r="M542" s="1">
        <f t="shared" si="23"/>
        <v>40</v>
      </c>
      <c r="N542" s="11">
        <f t="shared" si="24"/>
        <v>40</v>
      </c>
    </row>
    <row r="543" spans="2:14" x14ac:dyDescent="0.2">
      <c r="B543" t="s">
        <v>126</v>
      </c>
      <c r="C543" t="s">
        <v>547</v>
      </c>
      <c r="D543" t="s">
        <v>129</v>
      </c>
      <c r="G543">
        <v>1</v>
      </c>
      <c r="H543">
        <v>1</v>
      </c>
      <c r="I543">
        <v>0</v>
      </c>
      <c r="K543" s="1">
        <v>30</v>
      </c>
      <c r="L543" s="1">
        <v>0</v>
      </c>
      <c r="M543" s="1">
        <f t="shared" si="23"/>
        <v>30</v>
      </c>
      <c r="N543" s="11">
        <f t="shared" si="24"/>
        <v>30</v>
      </c>
    </row>
    <row r="544" spans="2:14" x14ac:dyDescent="0.2">
      <c r="B544" t="s">
        <v>126</v>
      </c>
      <c r="C544" t="s">
        <v>547</v>
      </c>
      <c r="D544" t="s">
        <v>130</v>
      </c>
      <c r="G544">
        <v>1</v>
      </c>
      <c r="H544">
        <v>1</v>
      </c>
      <c r="I544">
        <v>0</v>
      </c>
      <c r="K544" s="1">
        <v>30</v>
      </c>
      <c r="L544" s="1">
        <v>0</v>
      </c>
      <c r="M544" s="1">
        <f t="shared" si="23"/>
        <v>30</v>
      </c>
      <c r="N544" s="11">
        <f t="shared" si="24"/>
        <v>30</v>
      </c>
    </row>
    <row r="545" spans="2:14" x14ac:dyDescent="0.2">
      <c r="B545" t="s">
        <v>126</v>
      </c>
      <c r="C545" t="s">
        <v>547</v>
      </c>
      <c r="D545" t="s">
        <v>131</v>
      </c>
      <c r="G545">
        <v>1</v>
      </c>
      <c r="H545">
        <v>1</v>
      </c>
      <c r="I545">
        <v>0</v>
      </c>
      <c r="K545" s="1">
        <v>30</v>
      </c>
      <c r="L545" s="1">
        <v>0</v>
      </c>
      <c r="M545" s="1">
        <f t="shared" si="23"/>
        <v>30</v>
      </c>
      <c r="N545" s="11">
        <f t="shared" si="24"/>
        <v>30</v>
      </c>
    </row>
    <row r="546" spans="2:14" x14ac:dyDescent="0.2">
      <c r="B546" t="s">
        <v>390</v>
      </c>
      <c r="C546" t="s">
        <v>548</v>
      </c>
      <c r="D546" t="s">
        <v>388</v>
      </c>
      <c r="G546">
        <v>1</v>
      </c>
      <c r="H546">
        <v>1</v>
      </c>
      <c r="I546">
        <v>0</v>
      </c>
      <c r="K546" s="1">
        <v>30</v>
      </c>
      <c r="L546" s="1">
        <v>0</v>
      </c>
      <c r="M546" s="1">
        <f t="shared" si="23"/>
        <v>30</v>
      </c>
      <c r="N546" s="11">
        <f t="shared" si="24"/>
        <v>30</v>
      </c>
    </row>
    <row r="547" spans="2:14" x14ac:dyDescent="0.2">
      <c r="B547" t="s">
        <v>126</v>
      </c>
      <c r="C547" t="s">
        <v>549</v>
      </c>
      <c r="D547" t="s">
        <v>131</v>
      </c>
      <c r="G547">
        <v>1</v>
      </c>
      <c r="H547">
        <v>1</v>
      </c>
      <c r="I547">
        <v>0</v>
      </c>
      <c r="K547" s="1">
        <v>30</v>
      </c>
      <c r="L547" s="1">
        <v>0</v>
      </c>
      <c r="M547" s="1">
        <f t="shared" si="23"/>
        <v>30</v>
      </c>
      <c r="N547" s="11">
        <f t="shared" si="24"/>
        <v>30</v>
      </c>
    </row>
    <row r="548" spans="2:14" x14ac:dyDescent="0.2">
      <c r="B548" t="s">
        <v>390</v>
      </c>
      <c r="C548" t="s">
        <v>550</v>
      </c>
      <c r="D548" t="s">
        <v>551</v>
      </c>
      <c r="G548">
        <v>1</v>
      </c>
      <c r="H548">
        <v>1</v>
      </c>
      <c r="I548">
        <v>0</v>
      </c>
      <c r="K548" s="1">
        <v>30</v>
      </c>
      <c r="L548" s="1">
        <v>0</v>
      </c>
      <c r="M548" s="1">
        <f t="shared" si="23"/>
        <v>30</v>
      </c>
      <c r="N548" s="11">
        <f t="shared" si="24"/>
        <v>30</v>
      </c>
    </row>
    <row r="549" spans="2:14" x14ac:dyDescent="0.2">
      <c r="B549" t="s">
        <v>390</v>
      </c>
      <c r="C549" t="s">
        <v>552</v>
      </c>
      <c r="D549" t="s">
        <v>399</v>
      </c>
      <c r="G549">
        <v>1</v>
      </c>
      <c r="H549">
        <v>1</v>
      </c>
      <c r="I549">
        <v>0</v>
      </c>
      <c r="K549" s="1">
        <v>25</v>
      </c>
      <c r="L549" s="1">
        <v>0</v>
      </c>
      <c r="M549" s="1">
        <f t="shared" si="23"/>
        <v>25</v>
      </c>
      <c r="N549" s="11">
        <f t="shared" si="24"/>
        <v>25</v>
      </c>
    </row>
    <row r="550" spans="2:14" x14ac:dyDescent="0.2">
      <c r="B550" t="s">
        <v>386</v>
      </c>
      <c r="C550" t="s">
        <v>553</v>
      </c>
      <c r="D550" t="s">
        <v>388</v>
      </c>
      <c r="G550">
        <v>1</v>
      </c>
      <c r="H550">
        <v>1</v>
      </c>
      <c r="I550">
        <v>0</v>
      </c>
      <c r="K550" s="1">
        <v>25</v>
      </c>
      <c r="L550" s="1">
        <v>0</v>
      </c>
      <c r="M550" s="1">
        <f t="shared" si="23"/>
        <v>25</v>
      </c>
      <c r="N550" s="11">
        <f t="shared" si="24"/>
        <v>25</v>
      </c>
    </row>
    <row r="551" spans="2:14" x14ac:dyDescent="0.2">
      <c r="B551" t="s">
        <v>386</v>
      </c>
      <c r="C551" t="s">
        <v>554</v>
      </c>
      <c r="D551" t="s">
        <v>388</v>
      </c>
      <c r="G551">
        <v>1</v>
      </c>
      <c r="H551">
        <v>1</v>
      </c>
      <c r="I551">
        <v>0</v>
      </c>
      <c r="K551" s="1">
        <v>25</v>
      </c>
      <c r="L551" s="1">
        <v>0</v>
      </c>
      <c r="M551" s="1">
        <f t="shared" si="23"/>
        <v>25</v>
      </c>
      <c r="N551" s="11">
        <f t="shared" si="24"/>
        <v>25</v>
      </c>
    </row>
    <row r="552" spans="2:14" x14ac:dyDescent="0.2">
      <c r="B552" t="s">
        <v>394</v>
      </c>
      <c r="C552" t="s">
        <v>555</v>
      </c>
      <c r="D552" t="s">
        <v>556</v>
      </c>
      <c r="G552">
        <v>2</v>
      </c>
      <c r="H552">
        <v>2</v>
      </c>
      <c r="I552">
        <v>0</v>
      </c>
      <c r="K552" s="1">
        <v>15</v>
      </c>
      <c r="L552" s="1">
        <v>0</v>
      </c>
      <c r="M552" s="1">
        <f t="shared" si="23"/>
        <v>15</v>
      </c>
      <c r="N552" s="11">
        <f t="shared" si="24"/>
        <v>30</v>
      </c>
    </row>
    <row r="553" spans="2:14" x14ac:dyDescent="0.2">
      <c r="B553" t="s">
        <v>394</v>
      </c>
      <c r="C553" t="s">
        <v>557</v>
      </c>
      <c r="D553" t="s">
        <v>378</v>
      </c>
      <c r="G553">
        <v>1</v>
      </c>
      <c r="H553">
        <v>1</v>
      </c>
      <c r="I553">
        <v>0</v>
      </c>
      <c r="K553" s="1">
        <v>15</v>
      </c>
      <c r="L553" s="1">
        <v>0</v>
      </c>
      <c r="M553" s="1">
        <f t="shared" si="23"/>
        <v>15</v>
      </c>
      <c r="N553" s="11">
        <f t="shared" si="24"/>
        <v>15</v>
      </c>
    </row>
    <row r="554" spans="2:14" x14ac:dyDescent="0.2">
      <c r="B554" t="s">
        <v>394</v>
      </c>
      <c r="C554" t="s">
        <v>557</v>
      </c>
      <c r="D554" t="s">
        <v>558</v>
      </c>
      <c r="G554">
        <v>2</v>
      </c>
      <c r="H554">
        <v>2</v>
      </c>
      <c r="I554">
        <v>0</v>
      </c>
      <c r="K554" s="1">
        <v>15</v>
      </c>
      <c r="L554" s="1">
        <v>0</v>
      </c>
      <c r="M554" s="1">
        <f t="shared" si="23"/>
        <v>15</v>
      </c>
      <c r="N554" s="11">
        <f t="shared" si="24"/>
        <v>30</v>
      </c>
    </row>
    <row r="555" spans="2:14" x14ac:dyDescent="0.2">
      <c r="B555" t="s">
        <v>394</v>
      </c>
      <c r="C555" t="s">
        <v>559</v>
      </c>
      <c r="D555" t="s">
        <v>382</v>
      </c>
      <c r="G555">
        <v>1</v>
      </c>
      <c r="H555">
        <v>2</v>
      </c>
      <c r="I555">
        <v>0</v>
      </c>
      <c r="K555" s="1">
        <v>15</v>
      </c>
      <c r="L555" s="1">
        <v>0</v>
      </c>
      <c r="M555" s="1">
        <f t="shared" si="23"/>
        <v>15</v>
      </c>
      <c r="N555" s="11">
        <f t="shared" si="24"/>
        <v>15</v>
      </c>
    </row>
    <row r="556" spans="2:14" x14ac:dyDescent="0.2">
      <c r="B556" t="s">
        <v>394</v>
      </c>
      <c r="C556" t="s">
        <v>560</v>
      </c>
      <c r="D556" t="s">
        <v>382</v>
      </c>
      <c r="G556">
        <v>1</v>
      </c>
      <c r="H556">
        <v>1</v>
      </c>
      <c r="I556">
        <v>0</v>
      </c>
      <c r="K556" s="1">
        <v>15</v>
      </c>
      <c r="L556" s="1">
        <v>0</v>
      </c>
      <c r="M556" s="1">
        <f t="shared" si="23"/>
        <v>15</v>
      </c>
      <c r="N556" s="11">
        <f t="shared" si="24"/>
        <v>15</v>
      </c>
    </row>
    <row r="557" spans="2:14" x14ac:dyDescent="0.2">
      <c r="B557" t="s">
        <v>394</v>
      </c>
      <c r="C557" t="s">
        <v>561</v>
      </c>
      <c r="D557" t="s">
        <v>382</v>
      </c>
      <c r="G557">
        <v>2</v>
      </c>
      <c r="H557">
        <v>2</v>
      </c>
      <c r="I557">
        <v>0</v>
      </c>
      <c r="K557" s="1">
        <v>15</v>
      </c>
      <c r="L557" s="1">
        <v>0</v>
      </c>
      <c r="M557" s="1">
        <f t="shared" si="23"/>
        <v>15</v>
      </c>
      <c r="N557" s="11">
        <f t="shared" si="24"/>
        <v>30</v>
      </c>
    </row>
    <row r="558" spans="2:14" x14ac:dyDescent="0.2">
      <c r="B558" t="s">
        <v>394</v>
      </c>
      <c r="C558" t="s">
        <v>561</v>
      </c>
      <c r="D558" t="s">
        <v>378</v>
      </c>
      <c r="G558">
        <v>1</v>
      </c>
      <c r="H558">
        <v>1</v>
      </c>
      <c r="I558">
        <v>0</v>
      </c>
      <c r="K558" s="1">
        <v>15</v>
      </c>
      <c r="L558" s="1">
        <v>0</v>
      </c>
      <c r="M558" s="1">
        <f t="shared" si="23"/>
        <v>15</v>
      </c>
      <c r="N558" s="11">
        <f t="shared" si="24"/>
        <v>15</v>
      </c>
    </row>
    <row r="559" spans="2:14" x14ac:dyDescent="0.2">
      <c r="B559" t="s">
        <v>394</v>
      </c>
      <c r="C559" t="s">
        <v>562</v>
      </c>
      <c r="D559" t="s">
        <v>563</v>
      </c>
      <c r="G559">
        <v>1</v>
      </c>
      <c r="H559">
        <v>1</v>
      </c>
      <c r="I559">
        <v>0</v>
      </c>
      <c r="K559" s="1">
        <v>25</v>
      </c>
      <c r="L559" s="1">
        <v>0</v>
      </c>
      <c r="M559" s="1">
        <f t="shared" si="23"/>
        <v>25</v>
      </c>
      <c r="N559" s="11">
        <f t="shared" si="24"/>
        <v>25</v>
      </c>
    </row>
    <row r="560" spans="2:14" x14ac:dyDescent="0.2">
      <c r="B560" t="s">
        <v>394</v>
      </c>
      <c r="C560" t="s">
        <v>564</v>
      </c>
      <c r="D560" t="s">
        <v>565</v>
      </c>
      <c r="G560">
        <v>1</v>
      </c>
      <c r="H560">
        <v>1</v>
      </c>
      <c r="I560">
        <v>0</v>
      </c>
      <c r="K560" s="1">
        <v>35</v>
      </c>
      <c r="L560" s="1">
        <v>0</v>
      </c>
      <c r="M560" s="1">
        <f t="shared" si="23"/>
        <v>35</v>
      </c>
      <c r="N560" s="11">
        <f t="shared" si="24"/>
        <v>35</v>
      </c>
    </row>
    <row r="561" spans="2:14" x14ac:dyDescent="0.2">
      <c r="B561" t="s">
        <v>394</v>
      </c>
      <c r="C561" t="s">
        <v>566</v>
      </c>
      <c r="D561" t="s">
        <v>565</v>
      </c>
      <c r="G561">
        <v>1</v>
      </c>
      <c r="H561">
        <v>1</v>
      </c>
      <c r="I561">
        <v>0</v>
      </c>
      <c r="K561" s="1">
        <v>35</v>
      </c>
      <c r="L561" s="1">
        <v>0</v>
      </c>
      <c r="M561" s="1">
        <f t="shared" si="23"/>
        <v>35</v>
      </c>
      <c r="N561" s="11">
        <f t="shared" si="24"/>
        <v>35</v>
      </c>
    </row>
    <row r="562" spans="2:14" x14ac:dyDescent="0.2">
      <c r="B562" t="s">
        <v>394</v>
      </c>
      <c r="C562" t="s">
        <v>567</v>
      </c>
      <c r="D562" t="s">
        <v>565</v>
      </c>
      <c r="G562">
        <v>1</v>
      </c>
      <c r="H562">
        <v>1</v>
      </c>
      <c r="I562">
        <v>0</v>
      </c>
      <c r="K562" s="1">
        <v>35</v>
      </c>
      <c r="L562" s="1">
        <v>0</v>
      </c>
      <c r="M562" s="1">
        <f t="shared" si="23"/>
        <v>35</v>
      </c>
      <c r="N562" s="11">
        <f t="shared" si="24"/>
        <v>35</v>
      </c>
    </row>
    <row r="563" spans="2:14" x14ac:dyDescent="0.2">
      <c r="B563" t="s">
        <v>394</v>
      </c>
      <c r="C563" t="s">
        <v>568</v>
      </c>
      <c r="D563" t="s">
        <v>97</v>
      </c>
      <c r="G563">
        <v>1</v>
      </c>
      <c r="H563">
        <v>1</v>
      </c>
      <c r="I563">
        <v>0</v>
      </c>
      <c r="K563" s="1">
        <v>12</v>
      </c>
      <c r="L563" s="1">
        <v>0</v>
      </c>
      <c r="M563" s="1">
        <f t="shared" si="23"/>
        <v>12</v>
      </c>
      <c r="N563" s="11">
        <f t="shared" si="24"/>
        <v>12</v>
      </c>
    </row>
    <row r="564" spans="2:14" x14ac:dyDescent="0.2">
      <c r="B564" t="s">
        <v>394</v>
      </c>
      <c r="C564" t="s">
        <v>569</v>
      </c>
      <c r="D564" t="s">
        <v>565</v>
      </c>
      <c r="G564">
        <v>1</v>
      </c>
      <c r="H564">
        <v>1</v>
      </c>
      <c r="I564">
        <v>0</v>
      </c>
      <c r="K564" s="1">
        <v>12</v>
      </c>
      <c r="L564" s="1">
        <v>0</v>
      </c>
      <c r="M564" s="1">
        <f t="shared" si="23"/>
        <v>12</v>
      </c>
      <c r="N564" s="11">
        <f t="shared" si="24"/>
        <v>12</v>
      </c>
    </row>
    <row r="565" spans="2:14" x14ac:dyDescent="0.2">
      <c r="B565" t="s">
        <v>394</v>
      </c>
      <c r="C565" t="s">
        <v>570</v>
      </c>
      <c r="D565" t="s">
        <v>565</v>
      </c>
      <c r="G565">
        <v>2</v>
      </c>
      <c r="H565">
        <v>2</v>
      </c>
      <c r="I565">
        <v>0</v>
      </c>
      <c r="K565" s="1">
        <v>12</v>
      </c>
      <c r="L565" s="1">
        <v>0</v>
      </c>
      <c r="M565" s="1">
        <f t="shared" si="23"/>
        <v>12</v>
      </c>
      <c r="N565" s="11">
        <f t="shared" si="24"/>
        <v>24</v>
      </c>
    </row>
    <row r="566" spans="2:14" x14ac:dyDescent="0.2">
      <c r="B566" t="s">
        <v>112</v>
      </c>
      <c r="C566" t="s">
        <v>571</v>
      </c>
      <c r="D566" t="s">
        <v>97</v>
      </c>
      <c r="G566">
        <v>1</v>
      </c>
      <c r="H566">
        <v>1</v>
      </c>
      <c r="I566">
        <v>0</v>
      </c>
      <c r="K566" s="1">
        <v>20</v>
      </c>
      <c r="L566" s="1">
        <v>0</v>
      </c>
      <c r="M566" s="1">
        <f t="shared" si="23"/>
        <v>20</v>
      </c>
      <c r="N566" s="11">
        <f t="shared" si="24"/>
        <v>20</v>
      </c>
    </row>
    <row r="567" spans="2:14" x14ac:dyDescent="0.2">
      <c r="B567" t="s">
        <v>112</v>
      </c>
      <c r="C567" t="s">
        <v>572</v>
      </c>
      <c r="D567" t="s">
        <v>97</v>
      </c>
      <c r="G567">
        <v>1</v>
      </c>
      <c r="H567">
        <v>1</v>
      </c>
      <c r="I567">
        <v>0</v>
      </c>
      <c r="K567" s="1">
        <v>20</v>
      </c>
      <c r="L567" s="1">
        <v>0</v>
      </c>
      <c r="M567" s="1">
        <f t="shared" si="23"/>
        <v>20</v>
      </c>
      <c r="N567" s="11">
        <f t="shared" si="24"/>
        <v>20</v>
      </c>
    </row>
    <row r="568" spans="2:14" x14ac:dyDescent="0.2">
      <c r="B568" t="s">
        <v>121</v>
      </c>
      <c r="C568" t="s">
        <v>573</v>
      </c>
      <c r="D568" t="s">
        <v>34</v>
      </c>
      <c r="G568">
        <v>1</v>
      </c>
      <c r="H568">
        <v>1</v>
      </c>
      <c r="I568">
        <v>0</v>
      </c>
      <c r="K568" s="1">
        <v>20</v>
      </c>
      <c r="L568" s="1">
        <v>0</v>
      </c>
      <c r="M568" s="1">
        <f t="shared" si="23"/>
        <v>20</v>
      </c>
      <c r="N568" s="11">
        <f t="shared" si="24"/>
        <v>20</v>
      </c>
    </row>
    <row r="569" spans="2:14" x14ac:dyDescent="0.2">
      <c r="B569" t="s">
        <v>574</v>
      </c>
      <c r="C569" t="s">
        <v>575</v>
      </c>
      <c r="D569" t="s">
        <v>91</v>
      </c>
      <c r="G569">
        <v>1</v>
      </c>
      <c r="H569">
        <v>1</v>
      </c>
      <c r="I569">
        <v>0</v>
      </c>
      <c r="K569" s="1">
        <v>20</v>
      </c>
      <c r="L569" s="1">
        <v>0</v>
      </c>
      <c r="M569" s="1">
        <f t="shared" ref="M569:M632" si="25">K569+L569</f>
        <v>20</v>
      </c>
      <c r="N569" s="11">
        <f t="shared" si="24"/>
        <v>20</v>
      </c>
    </row>
    <row r="570" spans="2:14" x14ac:dyDescent="0.2">
      <c r="B570" t="s">
        <v>121</v>
      </c>
      <c r="C570" t="s">
        <v>576</v>
      </c>
      <c r="D570" t="s">
        <v>17</v>
      </c>
      <c r="G570">
        <v>1</v>
      </c>
      <c r="H570">
        <v>1</v>
      </c>
      <c r="I570">
        <v>0</v>
      </c>
      <c r="K570" s="1">
        <v>20</v>
      </c>
      <c r="L570" s="1">
        <v>0</v>
      </c>
      <c r="M570" s="1">
        <f t="shared" si="25"/>
        <v>20</v>
      </c>
      <c r="N570" s="11">
        <f t="shared" si="24"/>
        <v>20</v>
      </c>
    </row>
    <row r="571" spans="2:14" x14ac:dyDescent="0.2">
      <c r="B571" t="s">
        <v>112</v>
      </c>
      <c r="C571" t="s">
        <v>577</v>
      </c>
      <c r="D571" t="s">
        <v>97</v>
      </c>
      <c r="G571">
        <v>2</v>
      </c>
      <c r="H571">
        <v>2</v>
      </c>
      <c r="I571">
        <v>0</v>
      </c>
      <c r="K571" s="1">
        <v>20</v>
      </c>
      <c r="L571" s="1">
        <v>0</v>
      </c>
      <c r="M571" s="1">
        <f t="shared" si="25"/>
        <v>20</v>
      </c>
      <c r="N571" s="11">
        <f t="shared" si="24"/>
        <v>40</v>
      </c>
    </row>
    <row r="572" spans="2:14" x14ac:dyDescent="0.2">
      <c r="B572" t="s">
        <v>121</v>
      </c>
      <c r="C572" t="s">
        <v>578</v>
      </c>
      <c r="D572" t="s">
        <v>34</v>
      </c>
      <c r="G572">
        <v>1</v>
      </c>
      <c r="H572">
        <v>1</v>
      </c>
      <c r="I572">
        <v>0</v>
      </c>
      <c r="K572" s="1">
        <v>20</v>
      </c>
      <c r="L572" s="1">
        <v>0</v>
      </c>
      <c r="M572" s="1">
        <f t="shared" si="25"/>
        <v>20</v>
      </c>
      <c r="N572" s="11">
        <f t="shared" si="24"/>
        <v>20</v>
      </c>
    </row>
    <row r="573" spans="2:14" x14ac:dyDescent="0.2">
      <c r="B573" t="s">
        <v>110</v>
      </c>
      <c r="C573" t="s">
        <v>573</v>
      </c>
      <c r="D573" t="s">
        <v>91</v>
      </c>
      <c r="G573">
        <v>2</v>
      </c>
      <c r="H573">
        <v>2</v>
      </c>
      <c r="I573">
        <v>0</v>
      </c>
      <c r="K573" s="1">
        <v>20</v>
      </c>
      <c r="L573" s="1">
        <v>0</v>
      </c>
      <c r="M573" s="1">
        <f t="shared" si="25"/>
        <v>20</v>
      </c>
      <c r="N573" s="11">
        <f t="shared" si="24"/>
        <v>40</v>
      </c>
    </row>
    <row r="574" spans="2:14" x14ac:dyDescent="0.2">
      <c r="B574" t="s">
        <v>112</v>
      </c>
      <c r="C574" t="s">
        <v>576</v>
      </c>
      <c r="D574" t="s">
        <v>97</v>
      </c>
      <c r="G574">
        <v>2</v>
      </c>
      <c r="H574">
        <v>2</v>
      </c>
      <c r="I574">
        <v>0</v>
      </c>
      <c r="K574" s="1">
        <v>20</v>
      </c>
      <c r="L574" s="1">
        <v>0</v>
      </c>
      <c r="M574" s="1">
        <f t="shared" si="25"/>
        <v>20</v>
      </c>
      <c r="N574" s="11">
        <f t="shared" si="24"/>
        <v>40</v>
      </c>
    </row>
    <row r="575" spans="2:14" x14ac:dyDescent="0.2">
      <c r="B575" t="s">
        <v>112</v>
      </c>
      <c r="C575" t="s">
        <v>579</v>
      </c>
      <c r="D575" t="s">
        <v>97</v>
      </c>
      <c r="G575">
        <v>1</v>
      </c>
      <c r="H575">
        <v>1</v>
      </c>
      <c r="I575">
        <v>0</v>
      </c>
      <c r="K575" s="1">
        <v>20</v>
      </c>
      <c r="L575" s="1">
        <v>0</v>
      </c>
      <c r="M575" s="1">
        <f t="shared" si="25"/>
        <v>20</v>
      </c>
      <c r="N575" s="11">
        <f t="shared" si="24"/>
        <v>20</v>
      </c>
    </row>
    <row r="576" spans="2:14" x14ac:dyDescent="0.2">
      <c r="B576" t="s">
        <v>121</v>
      </c>
      <c r="C576" t="s">
        <v>580</v>
      </c>
      <c r="D576" t="s">
        <v>34</v>
      </c>
      <c r="G576">
        <v>1</v>
      </c>
      <c r="H576">
        <v>1</v>
      </c>
      <c r="I576">
        <v>0</v>
      </c>
      <c r="K576" s="1">
        <v>20</v>
      </c>
      <c r="L576" s="1">
        <v>0</v>
      </c>
      <c r="M576" s="1">
        <f t="shared" si="25"/>
        <v>20</v>
      </c>
      <c r="N576" s="11">
        <f t="shared" si="24"/>
        <v>20</v>
      </c>
    </row>
    <row r="577" spans="2:14" x14ac:dyDescent="0.2">
      <c r="B577" t="s">
        <v>110</v>
      </c>
      <c r="C577" t="s">
        <v>581</v>
      </c>
      <c r="D577" t="s">
        <v>91</v>
      </c>
      <c r="G577">
        <v>1</v>
      </c>
      <c r="H577">
        <v>1</v>
      </c>
      <c r="I577">
        <v>0</v>
      </c>
      <c r="K577" s="1">
        <v>28</v>
      </c>
      <c r="L577" s="1">
        <v>0</v>
      </c>
      <c r="M577" s="1">
        <f t="shared" si="25"/>
        <v>28</v>
      </c>
      <c r="N577" s="11">
        <f t="shared" si="24"/>
        <v>28</v>
      </c>
    </row>
    <row r="578" spans="2:14" x14ac:dyDescent="0.2">
      <c r="B578" t="s">
        <v>112</v>
      </c>
      <c r="C578" t="s">
        <v>582</v>
      </c>
      <c r="D578" t="s">
        <v>97</v>
      </c>
      <c r="G578">
        <v>1</v>
      </c>
      <c r="H578">
        <v>1</v>
      </c>
      <c r="I578">
        <v>0</v>
      </c>
      <c r="K578" s="1">
        <v>28</v>
      </c>
      <c r="L578" s="1">
        <v>0</v>
      </c>
      <c r="M578" s="1">
        <f t="shared" si="25"/>
        <v>28</v>
      </c>
      <c r="N578" s="11">
        <f t="shared" si="24"/>
        <v>28</v>
      </c>
    </row>
    <row r="579" spans="2:14" x14ac:dyDescent="0.2">
      <c r="B579" t="s">
        <v>112</v>
      </c>
      <c r="C579" t="s">
        <v>583</v>
      </c>
      <c r="D579" t="s">
        <v>97</v>
      </c>
      <c r="G579">
        <v>1</v>
      </c>
      <c r="H579">
        <v>1</v>
      </c>
      <c r="I579">
        <v>0</v>
      </c>
      <c r="K579" s="1">
        <v>28</v>
      </c>
      <c r="L579" s="1">
        <v>0</v>
      </c>
      <c r="M579" s="1">
        <f t="shared" si="25"/>
        <v>28</v>
      </c>
      <c r="N579" s="11">
        <f t="shared" ref="N579:N642" si="26">G579*K579</f>
        <v>28</v>
      </c>
    </row>
    <row r="580" spans="2:14" x14ac:dyDescent="0.2">
      <c r="B580" t="s">
        <v>110</v>
      </c>
      <c r="C580" t="s">
        <v>584</v>
      </c>
      <c r="D580" t="s">
        <v>91</v>
      </c>
      <c r="G580">
        <v>1</v>
      </c>
      <c r="H580">
        <v>1</v>
      </c>
      <c r="I580">
        <v>0</v>
      </c>
      <c r="K580" s="1">
        <v>28</v>
      </c>
      <c r="L580" s="1">
        <v>0</v>
      </c>
      <c r="M580" s="1">
        <f t="shared" si="25"/>
        <v>28</v>
      </c>
      <c r="N580" s="11">
        <f t="shared" si="26"/>
        <v>28</v>
      </c>
    </row>
    <row r="581" spans="2:14" x14ac:dyDescent="0.2">
      <c r="B581" t="s">
        <v>121</v>
      </c>
      <c r="C581" t="s">
        <v>585</v>
      </c>
      <c r="D581" t="s">
        <v>34</v>
      </c>
      <c r="G581">
        <v>1</v>
      </c>
      <c r="H581">
        <v>1</v>
      </c>
      <c r="I581">
        <v>0</v>
      </c>
      <c r="K581" s="1">
        <v>25</v>
      </c>
      <c r="L581" s="1">
        <v>0</v>
      </c>
      <c r="M581" s="1">
        <f t="shared" si="25"/>
        <v>25</v>
      </c>
      <c r="N581" s="11">
        <f t="shared" si="26"/>
        <v>25</v>
      </c>
    </row>
    <row r="582" spans="2:14" x14ac:dyDescent="0.2">
      <c r="B582" t="s">
        <v>112</v>
      </c>
      <c r="C582" t="s">
        <v>586</v>
      </c>
      <c r="D582" t="s">
        <v>97</v>
      </c>
      <c r="G582">
        <v>1</v>
      </c>
      <c r="H582">
        <v>1</v>
      </c>
      <c r="I582">
        <v>0</v>
      </c>
      <c r="K582" s="1">
        <v>25</v>
      </c>
      <c r="L582" s="1">
        <v>0</v>
      </c>
      <c r="M582" s="1">
        <f t="shared" si="25"/>
        <v>25</v>
      </c>
      <c r="N582" s="11">
        <f t="shared" si="26"/>
        <v>25</v>
      </c>
    </row>
    <row r="583" spans="2:14" x14ac:dyDescent="0.2">
      <c r="B583" t="s">
        <v>121</v>
      </c>
      <c r="C583" t="s">
        <v>587</v>
      </c>
      <c r="D583" t="s">
        <v>34</v>
      </c>
      <c r="G583">
        <v>1</v>
      </c>
      <c r="H583">
        <v>1</v>
      </c>
      <c r="I583">
        <v>0</v>
      </c>
      <c r="K583" s="1">
        <v>25</v>
      </c>
      <c r="L583" s="1">
        <v>0</v>
      </c>
      <c r="M583" s="1">
        <f t="shared" si="25"/>
        <v>25</v>
      </c>
      <c r="N583" s="11">
        <f t="shared" si="26"/>
        <v>25</v>
      </c>
    </row>
    <row r="584" spans="2:14" x14ac:dyDescent="0.2">
      <c r="B584" t="s">
        <v>112</v>
      </c>
      <c r="C584" t="s">
        <v>588</v>
      </c>
      <c r="D584" t="s">
        <v>97</v>
      </c>
      <c r="G584">
        <v>1</v>
      </c>
      <c r="H584">
        <v>1</v>
      </c>
      <c r="I584">
        <v>0</v>
      </c>
      <c r="K584" s="1">
        <v>25</v>
      </c>
      <c r="L584" s="1">
        <v>0</v>
      </c>
      <c r="M584" s="1">
        <f t="shared" si="25"/>
        <v>25</v>
      </c>
      <c r="N584" s="11">
        <f t="shared" si="26"/>
        <v>25</v>
      </c>
    </row>
    <row r="585" spans="2:14" x14ac:dyDescent="0.2">
      <c r="B585" t="s">
        <v>112</v>
      </c>
      <c r="C585" t="s">
        <v>589</v>
      </c>
      <c r="D585" t="s">
        <v>97</v>
      </c>
      <c r="G585">
        <v>1</v>
      </c>
      <c r="H585">
        <v>1</v>
      </c>
      <c r="I585">
        <v>0</v>
      </c>
      <c r="K585" s="1">
        <v>28</v>
      </c>
      <c r="L585" s="1">
        <v>0</v>
      </c>
      <c r="M585" s="1">
        <f t="shared" si="25"/>
        <v>28</v>
      </c>
      <c r="N585" s="11">
        <f t="shared" si="26"/>
        <v>28</v>
      </c>
    </row>
    <row r="586" spans="2:14" x14ac:dyDescent="0.2">
      <c r="B586" t="s">
        <v>121</v>
      </c>
      <c r="C586" t="s">
        <v>590</v>
      </c>
      <c r="D586" t="s">
        <v>34</v>
      </c>
      <c r="G586">
        <v>1</v>
      </c>
      <c r="H586">
        <v>1</v>
      </c>
      <c r="I586">
        <v>0</v>
      </c>
      <c r="K586" s="1">
        <v>28</v>
      </c>
      <c r="L586" s="1">
        <v>0</v>
      </c>
      <c r="M586" s="1">
        <f t="shared" si="25"/>
        <v>28</v>
      </c>
      <c r="N586" s="11">
        <f t="shared" si="26"/>
        <v>28</v>
      </c>
    </row>
    <row r="587" spans="2:14" x14ac:dyDescent="0.2">
      <c r="B587" t="s">
        <v>121</v>
      </c>
      <c r="C587" t="s">
        <v>591</v>
      </c>
      <c r="D587" t="s">
        <v>34</v>
      </c>
      <c r="G587">
        <v>1</v>
      </c>
      <c r="H587">
        <v>1</v>
      </c>
      <c r="I587">
        <v>0</v>
      </c>
      <c r="K587" s="1">
        <v>28</v>
      </c>
      <c r="L587" s="1">
        <v>0</v>
      </c>
      <c r="M587" s="1">
        <f t="shared" si="25"/>
        <v>28</v>
      </c>
      <c r="N587" s="11">
        <f t="shared" si="26"/>
        <v>28</v>
      </c>
    </row>
    <row r="588" spans="2:14" x14ac:dyDescent="0.2">
      <c r="B588" t="s">
        <v>121</v>
      </c>
      <c r="C588" t="s">
        <v>592</v>
      </c>
      <c r="D588" t="s">
        <v>34</v>
      </c>
      <c r="G588">
        <v>1</v>
      </c>
      <c r="H588">
        <v>1</v>
      </c>
      <c r="I588">
        <v>0</v>
      </c>
      <c r="K588" s="1">
        <v>28</v>
      </c>
      <c r="L588" s="1">
        <v>0</v>
      </c>
      <c r="M588" s="1">
        <f t="shared" si="25"/>
        <v>28</v>
      </c>
      <c r="N588" s="11">
        <f t="shared" si="26"/>
        <v>28</v>
      </c>
    </row>
    <row r="589" spans="2:14" x14ac:dyDescent="0.2">
      <c r="B589" t="s">
        <v>112</v>
      </c>
      <c r="C589" t="s">
        <v>593</v>
      </c>
      <c r="D589" t="s">
        <v>97</v>
      </c>
      <c r="G589">
        <v>1</v>
      </c>
      <c r="H589">
        <v>1</v>
      </c>
      <c r="I589">
        <v>0</v>
      </c>
      <c r="K589" s="1">
        <v>28</v>
      </c>
      <c r="L589" s="1">
        <v>0</v>
      </c>
      <c r="M589" s="1">
        <f t="shared" si="25"/>
        <v>28</v>
      </c>
      <c r="N589" s="11">
        <f t="shared" si="26"/>
        <v>28</v>
      </c>
    </row>
    <row r="590" spans="2:14" x14ac:dyDescent="0.2">
      <c r="B590" t="s">
        <v>112</v>
      </c>
      <c r="C590" t="s">
        <v>594</v>
      </c>
      <c r="D590" t="s">
        <v>97</v>
      </c>
      <c r="G590">
        <v>1</v>
      </c>
      <c r="H590">
        <v>1</v>
      </c>
      <c r="I590">
        <v>0</v>
      </c>
      <c r="K590" s="1">
        <v>28</v>
      </c>
      <c r="L590" s="1">
        <v>0</v>
      </c>
      <c r="M590" s="1">
        <f t="shared" si="25"/>
        <v>28</v>
      </c>
      <c r="N590" s="11">
        <f t="shared" si="26"/>
        <v>28</v>
      </c>
    </row>
    <row r="591" spans="2:14" x14ac:dyDescent="0.2">
      <c r="B591" t="s">
        <v>121</v>
      </c>
      <c r="C591" t="s">
        <v>595</v>
      </c>
      <c r="D591" t="s">
        <v>34</v>
      </c>
      <c r="G591">
        <v>1</v>
      </c>
      <c r="H591">
        <v>1</v>
      </c>
      <c r="I591">
        <v>0</v>
      </c>
      <c r="K591" s="1">
        <v>28</v>
      </c>
      <c r="L591" s="1">
        <v>0</v>
      </c>
      <c r="M591" s="1">
        <f t="shared" si="25"/>
        <v>28</v>
      </c>
      <c r="N591" s="11">
        <f t="shared" si="26"/>
        <v>28</v>
      </c>
    </row>
    <row r="592" spans="2:14" x14ac:dyDescent="0.2">
      <c r="B592" t="s">
        <v>121</v>
      </c>
      <c r="C592" t="s">
        <v>596</v>
      </c>
      <c r="D592" t="s">
        <v>34</v>
      </c>
      <c r="G592">
        <v>1</v>
      </c>
      <c r="H592">
        <v>1</v>
      </c>
      <c r="I592">
        <v>0</v>
      </c>
      <c r="K592" s="1">
        <v>28</v>
      </c>
      <c r="L592" s="1">
        <v>0</v>
      </c>
      <c r="M592" s="1">
        <f t="shared" si="25"/>
        <v>28</v>
      </c>
      <c r="N592" s="11">
        <f t="shared" si="26"/>
        <v>28</v>
      </c>
    </row>
    <row r="593" spans="2:14" x14ac:dyDescent="0.2">
      <c r="B593" t="s">
        <v>121</v>
      </c>
      <c r="C593" t="s">
        <v>597</v>
      </c>
      <c r="D593" t="s">
        <v>34</v>
      </c>
      <c r="G593">
        <v>1</v>
      </c>
      <c r="H593">
        <v>1</v>
      </c>
      <c r="I593">
        <v>0</v>
      </c>
      <c r="K593" s="1">
        <v>28</v>
      </c>
      <c r="L593" s="1">
        <v>0</v>
      </c>
      <c r="M593" s="1">
        <f t="shared" si="25"/>
        <v>28</v>
      </c>
      <c r="N593" s="11">
        <f t="shared" si="26"/>
        <v>28</v>
      </c>
    </row>
    <row r="594" spans="2:14" x14ac:dyDescent="0.2">
      <c r="B594" t="s">
        <v>121</v>
      </c>
      <c r="C594" t="s">
        <v>598</v>
      </c>
      <c r="D594" t="s">
        <v>34</v>
      </c>
      <c r="G594">
        <v>1</v>
      </c>
      <c r="H594">
        <v>1</v>
      </c>
      <c r="I594">
        <v>0</v>
      </c>
      <c r="K594" s="1">
        <v>28</v>
      </c>
      <c r="L594" s="1">
        <v>0</v>
      </c>
      <c r="M594" s="1">
        <f t="shared" si="25"/>
        <v>28</v>
      </c>
      <c r="N594" s="11">
        <f t="shared" si="26"/>
        <v>28</v>
      </c>
    </row>
    <row r="595" spans="2:14" x14ac:dyDescent="0.2">
      <c r="B595" t="s">
        <v>112</v>
      </c>
      <c r="C595" t="s">
        <v>599</v>
      </c>
      <c r="D595" t="s">
        <v>97</v>
      </c>
      <c r="G595">
        <v>2</v>
      </c>
      <c r="H595">
        <v>2</v>
      </c>
      <c r="I595">
        <v>0</v>
      </c>
      <c r="K595" s="1">
        <v>18</v>
      </c>
      <c r="L595" s="1">
        <v>0</v>
      </c>
      <c r="M595" s="1">
        <f t="shared" si="25"/>
        <v>18</v>
      </c>
      <c r="N595" s="11">
        <f t="shared" si="26"/>
        <v>36</v>
      </c>
    </row>
    <row r="596" spans="2:14" x14ac:dyDescent="0.2">
      <c r="B596" t="s">
        <v>112</v>
      </c>
      <c r="C596" t="s">
        <v>600</v>
      </c>
      <c r="D596" t="s">
        <v>97</v>
      </c>
      <c r="G596">
        <v>1</v>
      </c>
      <c r="H596">
        <v>1</v>
      </c>
      <c r="I596">
        <v>0</v>
      </c>
      <c r="K596" s="1">
        <v>18</v>
      </c>
      <c r="L596" s="1">
        <v>0</v>
      </c>
      <c r="M596" s="1">
        <f t="shared" si="25"/>
        <v>18</v>
      </c>
      <c r="N596" s="11">
        <f t="shared" si="26"/>
        <v>18</v>
      </c>
    </row>
    <row r="597" spans="2:14" x14ac:dyDescent="0.2">
      <c r="B597" t="s">
        <v>121</v>
      </c>
      <c r="C597" t="s">
        <v>600</v>
      </c>
      <c r="D597" t="s">
        <v>34</v>
      </c>
      <c r="G597">
        <v>1</v>
      </c>
      <c r="H597">
        <v>1</v>
      </c>
      <c r="I597">
        <v>0</v>
      </c>
      <c r="K597" s="1">
        <v>18</v>
      </c>
      <c r="L597" s="1">
        <v>0</v>
      </c>
      <c r="M597" s="1">
        <f t="shared" si="25"/>
        <v>18</v>
      </c>
      <c r="N597" s="11">
        <f t="shared" si="26"/>
        <v>18</v>
      </c>
    </row>
    <row r="598" spans="2:14" x14ac:dyDescent="0.2">
      <c r="B598" t="s">
        <v>121</v>
      </c>
      <c r="C598" t="s">
        <v>600</v>
      </c>
      <c r="D598" t="s">
        <v>17</v>
      </c>
      <c r="G598">
        <v>1</v>
      </c>
      <c r="H598">
        <v>1</v>
      </c>
      <c r="I598">
        <v>0</v>
      </c>
      <c r="K598" s="1">
        <v>18</v>
      </c>
      <c r="L598" s="1">
        <v>0</v>
      </c>
      <c r="M598" s="1">
        <f t="shared" si="25"/>
        <v>18</v>
      </c>
      <c r="N598" s="11">
        <f t="shared" si="26"/>
        <v>18</v>
      </c>
    </row>
    <row r="599" spans="2:14" x14ac:dyDescent="0.2">
      <c r="B599" t="s">
        <v>121</v>
      </c>
      <c r="C599" t="s">
        <v>601</v>
      </c>
      <c r="D599" t="s">
        <v>34</v>
      </c>
      <c r="G599">
        <v>1</v>
      </c>
      <c r="H599">
        <v>1</v>
      </c>
      <c r="I599">
        <v>0</v>
      </c>
      <c r="K599" s="1">
        <v>18</v>
      </c>
      <c r="L599" s="1">
        <v>0</v>
      </c>
      <c r="M599" s="1">
        <f t="shared" si="25"/>
        <v>18</v>
      </c>
      <c r="N599" s="11">
        <f t="shared" si="26"/>
        <v>18</v>
      </c>
    </row>
    <row r="600" spans="2:14" x14ac:dyDescent="0.2">
      <c r="B600" t="s">
        <v>110</v>
      </c>
      <c r="C600" t="s">
        <v>601</v>
      </c>
      <c r="D600" t="s">
        <v>91</v>
      </c>
      <c r="G600">
        <v>1</v>
      </c>
      <c r="H600">
        <v>1</v>
      </c>
      <c r="I600">
        <v>0</v>
      </c>
      <c r="K600" s="1">
        <v>18</v>
      </c>
      <c r="L600" s="1">
        <v>0</v>
      </c>
      <c r="M600" s="1">
        <f t="shared" si="25"/>
        <v>18</v>
      </c>
      <c r="N600" s="11">
        <f t="shared" si="26"/>
        <v>18</v>
      </c>
    </row>
    <row r="601" spans="2:14" x14ac:dyDescent="0.2">
      <c r="B601" t="s">
        <v>112</v>
      </c>
      <c r="C601" t="s">
        <v>602</v>
      </c>
      <c r="D601" t="s">
        <v>97</v>
      </c>
      <c r="G601">
        <v>2</v>
      </c>
      <c r="H601">
        <v>2</v>
      </c>
      <c r="I601">
        <v>0</v>
      </c>
      <c r="K601" s="1">
        <v>18</v>
      </c>
      <c r="L601" s="1">
        <v>0</v>
      </c>
      <c r="M601" s="1">
        <f t="shared" si="25"/>
        <v>18</v>
      </c>
      <c r="N601" s="11">
        <f t="shared" si="26"/>
        <v>36</v>
      </c>
    </row>
    <row r="602" spans="2:14" x14ac:dyDescent="0.2">
      <c r="B602" t="s">
        <v>121</v>
      </c>
      <c r="C602" t="s">
        <v>602</v>
      </c>
      <c r="D602" t="s">
        <v>34</v>
      </c>
      <c r="G602">
        <v>1</v>
      </c>
      <c r="H602">
        <v>1</v>
      </c>
      <c r="I602">
        <v>0</v>
      </c>
      <c r="K602" s="1">
        <v>18</v>
      </c>
      <c r="L602" s="1">
        <v>0</v>
      </c>
      <c r="M602" s="1">
        <f t="shared" si="25"/>
        <v>18</v>
      </c>
      <c r="N602" s="11">
        <f t="shared" si="26"/>
        <v>18</v>
      </c>
    </row>
    <row r="603" spans="2:14" x14ac:dyDescent="0.2">
      <c r="B603" t="s">
        <v>96</v>
      </c>
      <c r="C603" t="s">
        <v>603</v>
      </c>
      <c r="D603" t="s">
        <v>563</v>
      </c>
      <c r="G603">
        <v>1</v>
      </c>
      <c r="H603">
        <v>1</v>
      </c>
      <c r="I603">
        <v>0</v>
      </c>
      <c r="K603" s="1">
        <v>30</v>
      </c>
      <c r="L603" s="1">
        <v>0</v>
      </c>
      <c r="M603" s="1">
        <f t="shared" si="25"/>
        <v>30</v>
      </c>
      <c r="N603" s="11">
        <f t="shared" si="26"/>
        <v>30</v>
      </c>
    </row>
    <row r="604" spans="2:14" x14ac:dyDescent="0.2">
      <c r="B604" t="s">
        <v>93</v>
      </c>
      <c r="C604" t="s">
        <v>604</v>
      </c>
      <c r="D604" t="s">
        <v>382</v>
      </c>
      <c r="G604">
        <v>1</v>
      </c>
      <c r="H604">
        <v>1</v>
      </c>
      <c r="I604">
        <v>0</v>
      </c>
      <c r="K604" s="1">
        <v>30</v>
      </c>
      <c r="L604" s="1">
        <v>0</v>
      </c>
      <c r="M604" s="1">
        <f t="shared" si="25"/>
        <v>30</v>
      </c>
      <c r="N604" s="11">
        <f t="shared" si="26"/>
        <v>30</v>
      </c>
    </row>
    <row r="605" spans="2:14" x14ac:dyDescent="0.2">
      <c r="B605" t="s">
        <v>93</v>
      </c>
      <c r="C605" t="s">
        <v>605</v>
      </c>
      <c r="D605" t="s">
        <v>382</v>
      </c>
      <c r="G605">
        <v>1</v>
      </c>
      <c r="H605">
        <v>1</v>
      </c>
      <c r="I605">
        <v>0</v>
      </c>
      <c r="K605" s="1">
        <v>30</v>
      </c>
      <c r="L605" s="1">
        <v>0</v>
      </c>
      <c r="M605" s="1">
        <f t="shared" si="25"/>
        <v>30</v>
      </c>
      <c r="N605" s="11">
        <f t="shared" si="26"/>
        <v>30</v>
      </c>
    </row>
    <row r="606" spans="2:14" x14ac:dyDescent="0.2">
      <c r="B606" t="s">
        <v>215</v>
      </c>
      <c r="C606" t="s">
        <v>606</v>
      </c>
      <c r="D606" t="s">
        <v>97</v>
      </c>
      <c r="G606">
        <v>1</v>
      </c>
      <c r="H606">
        <v>1</v>
      </c>
      <c r="I606">
        <v>0</v>
      </c>
      <c r="K606" s="1">
        <v>28</v>
      </c>
      <c r="L606" s="1">
        <v>0</v>
      </c>
      <c r="M606" s="1">
        <f t="shared" si="25"/>
        <v>28</v>
      </c>
      <c r="N606" s="11">
        <f t="shared" si="26"/>
        <v>28</v>
      </c>
    </row>
    <row r="607" spans="2:14" x14ac:dyDescent="0.2">
      <c r="B607" t="s">
        <v>32</v>
      </c>
      <c r="C607" t="s">
        <v>607</v>
      </c>
      <c r="D607" t="s">
        <v>17</v>
      </c>
      <c r="G607">
        <v>1</v>
      </c>
      <c r="H607">
        <v>1</v>
      </c>
      <c r="I607">
        <v>0</v>
      </c>
      <c r="K607" s="1">
        <v>28</v>
      </c>
      <c r="L607" s="1">
        <v>0</v>
      </c>
      <c r="M607" s="1">
        <f t="shared" si="25"/>
        <v>28</v>
      </c>
      <c r="N607" s="11">
        <f t="shared" si="26"/>
        <v>28</v>
      </c>
    </row>
    <row r="608" spans="2:14" x14ac:dyDescent="0.2">
      <c r="B608" t="s">
        <v>90</v>
      </c>
      <c r="C608" t="s">
        <v>608</v>
      </c>
      <c r="D608" t="s">
        <v>91</v>
      </c>
      <c r="G608">
        <v>1</v>
      </c>
      <c r="H608">
        <v>1</v>
      </c>
      <c r="I608">
        <v>0</v>
      </c>
      <c r="K608" s="1">
        <v>28</v>
      </c>
      <c r="L608" s="1">
        <v>0</v>
      </c>
      <c r="M608" s="1">
        <f t="shared" si="25"/>
        <v>28</v>
      </c>
      <c r="N608" s="11">
        <f t="shared" si="26"/>
        <v>28</v>
      </c>
    </row>
    <row r="609" spans="2:14" x14ac:dyDescent="0.2">
      <c r="B609" t="s">
        <v>32</v>
      </c>
      <c r="C609" t="s">
        <v>609</v>
      </c>
      <c r="D609" t="s">
        <v>34</v>
      </c>
      <c r="G609">
        <v>1</v>
      </c>
      <c r="H609">
        <v>1</v>
      </c>
      <c r="I609">
        <v>0</v>
      </c>
      <c r="K609" s="1">
        <v>28</v>
      </c>
      <c r="L609" s="1">
        <v>0</v>
      </c>
      <c r="M609" s="1">
        <f t="shared" si="25"/>
        <v>28</v>
      </c>
      <c r="N609" s="11">
        <f t="shared" si="26"/>
        <v>28</v>
      </c>
    </row>
    <row r="610" spans="2:14" x14ac:dyDescent="0.2">
      <c r="B610" t="s">
        <v>90</v>
      </c>
      <c r="C610" t="s">
        <v>609</v>
      </c>
      <c r="D610" t="s">
        <v>91</v>
      </c>
      <c r="G610">
        <v>1</v>
      </c>
      <c r="H610">
        <v>1</v>
      </c>
      <c r="I610">
        <v>0</v>
      </c>
      <c r="K610" s="1">
        <v>28</v>
      </c>
      <c r="L610" s="1">
        <v>0</v>
      </c>
      <c r="M610" s="1">
        <f t="shared" si="25"/>
        <v>28</v>
      </c>
      <c r="N610" s="11">
        <f t="shared" si="26"/>
        <v>28</v>
      </c>
    </row>
    <row r="611" spans="2:14" x14ac:dyDescent="0.2">
      <c r="B611" t="s">
        <v>90</v>
      </c>
      <c r="C611" t="s">
        <v>610</v>
      </c>
      <c r="D611" t="s">
        <v>95</v>
      </c>
      <c r="G611">
        <v>1</v>
      </c>
      <c r="H611">
        <v>1</v>
      </c>
      <c r="I611">
        <v>0</v>
      </c>
      <c r="K611" s="1">
        <v>28</v>
      </c>
      <c r="L611" s="1">
        <v>0</v>
      </c>
      <c r="M611" s="1">
        <f t="shared" si="25"/>
        <v>28</v>
      </c>
      <c r="N611" s="11">
        <f t="shared" si="26"/>
        <v>28</v>
      </c>
    </row>
    <row r="612" spans="2:14" x14ac:dyDescent="0.2">
      <c r="B612" t="s">
        <v>90</v>
      </c>
      <c r="C612" t="s">
        <v>611</v>
      </c>
      <c r="D612" t="s">
        <v>91</v>
      </c>
      <c r="G612">
        <v>1</v>
      </c>
      <c r="H612">
        <v>1</v>
      </c>
      <c r="I612">
        <v>0</v>
      </c>
      <c r="K612" s="1">
        <v>28</v>
      </c>
      <c r="L612" s="1">
        <v>0</v>
      </c>
      <c r="M612" s="1">
        <f t="shared" si="25"/>
        <v>28</v>
      </c>
      <c r="N612" s="11">
        <f t="shared" si="26"/>
        <v>28</v>
      </c>
    </row>
    <row r="613" spans="2:14" x14ac:dyDescent="0.2">
      <c r="B613" t="s">
        <v>90</v>
      </c>
      <c r="C613" t="s">
        <v>612</v>
      </c>
      <c r="D613" t="s">
        <v>91</v>
      </c>
      <c r="G613">
        <v>1</v>
      </c>
      <c r="H613">
        <v>1</v>
      </c>
      <c r="I613">
        <v>0</v>
      </c>
      <c r="K613" s="1">
        <v>28</v>
      </c>
      <c r="L613" s="1">
        <v>0</v>
      </c>
      <c r="M613" s="1">
        <f t="shared" si="25"/>
        <v>28</v>
      </c>
      <c r="N613" s="11">
        <f t="shared" si="26"/>
        <v>28</v>
      </c>
    </row>
    <row r="614" spans="2:14" x14ac:dyDescent="0.2">
      <c r="B614" t="s">
        <v>90</v>
      </c>
      <c r="C614" t="s">
        <v>613</v>
      </c>
      <c r="D614" t="s">
        <v>91</v>
      </c>
      <c r="G614">
        <v>1</v>
      </c>
      <c r="H614">
        <v>1</v>
      </c>
      <c r="I614">
        <v>0</v>
      </c>
      <c r="K614" s="1">
        <v>28</v>
      </c>
      <c r="L614" s="1">
        <v>0</v>
      </c>
      <c r="M614" s="1">
        <f t="shared" si="25"/>
        <v>28</v>
      </c>
      <c r="N614" s="11">
        <f t="shared" si="26"/>
        <v>28</v>
      </c>
    </row>
    <row r="615" spans="2:14" x14ac:dyDescent="0.2">
      <c r="B615" t="s">
        <v>215</v>
      </c>
      <c r="C615" t="s">
        <v>614</v>
      </c>
      <c r="D615" t="s">
        <v>97</v>
      </c>
      <c r="G615">
        <v>1</v>
      </c>
      <c r="H615">
        <v>1</v>
      </c>
      <c r="I615">
        <v>0</v>
      </c>
      <c r="K615" s="1">
        <v>28</v>
      </c>
      <c r="L615" s="1">
        <v>0</v>
      </c>
      <c r="M615" s="1">
        <f t="shared" si="25"/>
        <v>28</v>
      </c>
      <c r="N615" s="11">
        <f t="shared" si="26"/>
        <v>28</v>
      </c>
    </row>
    <row r="616" spans="2:14" x14ac:dyDescent="0.2">
      <c r="B616" t="s">
        <v>215</v>
      </c>
      <c r="C616" t="s">
        <v>615</v>
      </c>
      <c r="D616" t="s">
        <v>97</v>
      </c>
      <c r="G616">
        <v>1</v>
      </c>
      <c r="H616">
        <v>1</v>
      </c>
      <c r="I616">
        <v>0</v>
      </c>
      <c r="K616" s="1">
        <v>28</v>
      </c>
      <c r="L616" s="1">
        <v>0</v>
      </c>
      <c r="M616" s="1">
        <f t="shared" si="25"/>
        <v>28</v>
      </c>
      <c r="N616" s="11">
        <f t="shared" si="26"/>
        <v>28</v>
      </c>
    </row>
    <row r="617" spans="2:14" x14ac:dyDescent="0.2">
      <c r="B617" t="s">
        <v>215</v>
      </c>
      <c r="C617" t="s">
        <v>616</v>
      </c>
      <c r="D617" t="s">
        <v>97</v>
      </c>
      <c r="G617">
        <v>1</v>
      </c>
      <c r="H617">
        <v>1</v>
      </c>
      <c r="I617">
        <v>0</v>
      </c>
      <c r="K617" s="1">
        <v>28</v>
      </c>
      <c r="L617" s="1">
        <v>0</v>
      </c>
      <c r="M617" s="1">
        <f t="shared" si="25"/>
        <v>28</v>
      </c>
      <c r="N617" s="11">
        <f t="shared" si="26"/>
        <v>28</v>
      </c>
    </row>
    <row r="618" spans="2:14" x14ac:dyDescent="0.2">
      <c r="B618" t="s">
        <v>90</v>
      </c>
      <c r="C618" t="s">
        <v>617</v>
      </c>
      <c r="D618" t="s">
        <v>95</v>
      </c>
      <c r="G618">
        <v>1</v>
      </c>
      <c r="H618">
        <v>1</v>
      </c>
      <c r="I618">
        <v>0</v>
      </c>
      <c r="K618" s="1">
        <v>28</v>
      </c>
      <c r="L618" s="1">
        <v>0</v>
      </c>
      <c r="M618" s="1">
        <f t="shared" si="25"/>
        <v>28</v>
      </c>
      <c r="N618" s="11">
        <f t="shared" si="26"/>
        <v>28</v>
      </c>
    </row>
    <row r="619" spans="2:14" x14ac:dyDescent="0.2">
      <c r="B619" t="s">
        <v>90</v>
      </c>
      <c r="C619" t="s">
        <v>618</v>
      </c>
      <c r="D619" t="s">
        <v>91</v>
      </c>
      <c r="G619">
        <v>1</v>
      </c>
      <c r="H619">
        <v>1</v>
      </c>
      <c r="I619">
        <v>0</v>
      </c>
      <c r="K619" s="1">
        <v>28</v>
      </c>
      <c r="L619" s="1">
        <v>0</v>
      </c>
      <c r="M619" s="1">
        <f t="shared" si="25"/>
        <v>28</v>
      </c>
      <c r="N619" s="11">
        <f t="shared" si="26"/>
        <v>28</v>
      </c>
    </row>
    <row r="620" spans="2:14" x14ac:dyDescent="0.2">
      <c r="B620" t="s">
        <v>422</v>
      </c>
      <c r="C620" t="s">
        <v>619</v>
      </c>
      <c r="D620" t="s">
        <v>91</v>
      </c>
      <c r="G620">
        <v>2</v>
      </c>
      <c r="H620">
        <v>2</v>
      </c>
      <c r="I620">
        <v>0</v>
      </c>
      <c r="K620" s="1">
        <v>30</v>
      </c>
      <c r="L620" s="1">
        <v>0</v>
      </c>
      <c r="M620" s="1">
        <f t="shared" si="25"/>
        <v>30</v>
      </c>
      <c r="N620" s="11">
        <f t="shared" si="26"/>
        <v>60</v>
      </c>
    </row>
    <row r="621" spans="2:14" x14ac:dyDescent="0.2">
      <c r="B621" t="s">
        <v>416</v>
      </c>
      <c r="C621" t="s">
        <v>620</v>
      </c>
      <c r="D621" t="s">
        <v>97</v>
      </c>
      <c r="G621">
        <v>1</v>
      </c>
      <c r="H621">
        <v>1</v>
      </c>
      <c r="I621">
        <v>0</v>
      </c>
      <c r="K621" s="1">
        <v>30</v>
      </c>
      <c r="L621" s="1">
        <v>0</v>
      </c>
      <c r="M621" s="1">
        <f t="shared" si="25"/>
        <v>30</v>
      </c>
      <c r="N621" s="11">
        <f t="shared" si="26"/>
        <v>30</v>
      </c>
    </row>
    <row r="622" spans="2:14" x14ac:dyDescent="0.2">
      <c r="B622" t="s">
        <v>422</v>
      </c>
      <c r="C622" t="s">
        <v>621</v>
      </c>
      <c r="D622" t="s">
        <v>95</v>
      </c>
      <c r="G622">
        <v>1</v>
      </c>
      <c r="H622">
        <v>1</v>
      </c>
      <c r="I622">
        <v>0</v>
      </c>
      <c r="K622" s="1">
        <v>15</v>
      </c>
      <c r="L622" s="1">
        <v>0</v>
      </c>
      <c r="M622" s="1">
        <f t="shared" si="25"/>
        <v>15</v>
      </c>
      <c r="N622" s="11">
        <f t="shared" si="26"/>
        <v>15</v>
      </c>
    </row>
    <row r="623" spans="2:14" x14ac:dyDescent="0.2">
      <c r="B623" t="s">
        <v>416</v>
      </c>
      <c r="C623" t="s">
        <v>621</v>
      </c>
      <c r="D623" t="s">
        <v>97</v>
      </c>
      <c r="G623">
        <v>1</v>
      </c>
      <c r="H623">
        <v>1</v>
      </c>
      <c r="I623">
        <v>0</v>
      </c>
      <c r="K623" s="1">
        <v>15</v>
      </c>
      <c r="L623" s="1">
        <v>0</v>
      </c>
      <c r="M623" s="1">
        <f t="shared" si="25"/>
        <v>15</v>
      </c>
      <c r="N623" s="11">
        <f t="shared" si="26"/>
        <v>15</v>
      </c>
    </row>
    <row r="624" spans="2:14" x14ac:dyDescent="0.2">
      <c r="B624" t="s">
        <v>416</v>
      </c>
      <c r="C624" t="s">
        <v>622</v>
      </c>
      <c r="D624" t="s">
        <v>97</v>
      </c>
      <c r="G624">
        <v>2</v>
      </c>
      <c r="H624">
        <v>2</v>
      </c>
      <c r="I624">
        <v>0</v>
      </c>
      <c r="K624" s="1">
        <v>15</v>
      </c>
      <c r="L624" s="1">
        <v>0</v>
      </c>
      <c r="M624" s="1">
        <f t="shared" si="25"/>
        <v>15</v>
      </c>
      <c r="N624" s="11">
        <f t="shared" si="26"/>
        <v>30</v>
      </c>
    </row>
    <row r="625" spans="2:14" x14ac:dyDescent="0.2">
      <c r="B625" t="s">
        <v>422</v>
      </c>
      <c r="C625" t="s">
        <v>622</v>
      </c>
      <c r="D625" t="s">
        <v>91</v>
      </c>
      <c r="G625">
        <v>3</v>
      </c>
      <c r="H625">
        <v>3</v>
      </c>
      <c r="I625">
        <v>0</v>
      </c>
      <c r="K625" s="1">
        <v>15</v>
      </c>
      <c r="L625" s="1">
        <v>0</v>
      </c>
      <c r="M625" s="1">
        <f t="shared" si="25"/>
        <v>15</v>
      </c>
      <c r="N625" s="11">
        <f t="shared" si="26"/>
        <v>45</v>
      </c>
    </row>
    <row r="626" spans="2:14" x14ac:dyDescent="0.2">
      <c r="B626" t="s">
        <v>623</v>
      </c>
      <c r="C626" t="s">
        <v>624</v>
      </c>
      <c r="D626" t="s">
        <v>97</v>
      </c>
      <c r="G626">
        <v>2</v>
      </c>
      <c r="H626">
        <v>2</v>
      </c>
      <c r="I626">
        <v>0</v>
      </c>
      <c r="K626" s="1">
        <v>10.99</v>
      </c>
      <c r="L626" s="1">
        <v>4.0999999999999996</v>
      </c>
      <c r="M626" s="1">
        <f t="shared" si="25"/>
        <v>15.09</v>
      </c>
      <c r="N626" s="11">
        <f t="shared" si="26"/>
        <v>21.98</v>
      </c>
    </row>
    <row r="627" spans="2:14" x14ac:dyDescent="0.2">
      <c r="B627" t="s">
        <v>574</v>
      </c>
      <c r="C627" t="s">
        <v>624</v>
      </c>
      <c r="D627" t="s">
        <v>95</v>
      </c>
      <c r="G627">
        <v>1</v>
      </c>
      <c r="H627">
        <v>1</v>
      </c>
      <c r="I627">
        <v>0</v>
      </c>
      <c r="K627" s="1">
        <v>10.99</v>
      </c>
      <c r="L627" s="1">
        <v>4.0999999999999996</v>
      </c>
      <c r="M627" s="1">
        <f t="shared" si="25"/>
        <v>15.09</v>
      </c>
      <c r="N627" s="11">
        <f t="shared" si="26"/>
        <v>10.99</v>
      </c>
    </row>
    <row r="628" spans="2:14" x14ac:dyDescent="0.2">
      <c r="B628" t="s">
        <v>574</v>
      </c>
      <c r="C628" t="s">
        <v>624</v>
      </c>
      <c r="D628" t="s">
        <v>91</v>
      </c>
      <c r="G628">
        <v>1</v>
      </c>
      <c r="H628">
        <v>1</v>
      </c>
      <c r="I628">
        <v>0</v>
      </c>
      <c r="K628" s="1">
        <v>10.99</v>
      </c>
      <c r="L628" s="1">
        <v>4.0999999999999996</v>
      </c>
      <c r="M628" s="1">
        <f t="shared" si="25"/>
        <v>15.09</v>
      </c>
      <c r="N628" s="11">
        <f t="shared" si="26"/>
        <v>10.99</v>
      </c>
    </row>
    <row r="629" spans="2:14" x14ac:dyDescent="0.2">
      <c r="B629" t="s">
        <v>498</v>
      </c>
      <c r="C629" t="s">
        <v>625</v>
      </c>
      <c r="D629" t="s">
        <v>385</v>
      </c>
      <c r="G629">
        <v>1</v>
      </c>
      <c r="H629">
        <v>1</v>
      </c>
      <c r="I629">
        <v>0</v>
      </c>
      <c r="K629" s="1">
        <v>17.97</v>
      </c>
      <c r="L629" s="1">
        <v>4.0999999999999996</v>
      </c>
      <c r="M629" s="1">
        <f t="shared" si="25"/>
        <v>22.07</v>
      </c>
      <c r="N629" s="11">
        <f t="shared" si="26"/>
        <v>17.97</v>
      </c>
    </row>
    <row r="630" spans="2:14" x14ac:dyDescent="0.2">
      <c r="B630" t="s">
        <v>498</v>
      </c>
      <c r="C630" t="s">
        <v>626</v>
      </c>
      <c r="D630" t="s">
        <v>385</v>
      </c>
      <c r="G630">
        <v>2</v>
      </c>
      <c r="H630">
        <v>2</v>
      </c>
      <c r="I630">
        <v>0</v>
      </c>
      <c r="K630" s="1">
        <v>17.97</v>
      </c>
      <c r="L630" s="1">
        <v>4.0999999999999996</v>
      </c>
      <c r="M630" s="1">
        <f t="shared" si="25"/>
        <v>22.07</v>
      </c>
      <c r="N630" s="11">
        <f t="shared" si="26"/>
        <v>35.94</v>
      </c>
    </row>
    <row r="631" spans="2:14" x14ac:dyDescent="0.2">
      <c r="B631" t="s">
        <v>390</v>
      </c>
      <c r="C631" t="s">
        <v>627</v>
      </c>
      <c r="D631" t="s">
        <v>388</v>
      </c>
      <c r="G631">
        <v>3</v>
      </c>
      <c r="H631">
        <v>3</v>
      </c>
      <c r="I631">
        <v>0</v>
      </c>
      <c r="L631" s="1">
        <v>0</v>
      </c>
      <c r="M631" s="1">
        <f t="shared" si="25"/>
        <v>0</v>
      </c>
      <c r="N631" s="11">
        <f t="shared" si="26"/>
        <v>0</v>
      </c>
    </row>
    <row r="632" spans="2:14" x14ac:dyDescent="0.2">
      <c r="B632" t="s">
        <v>390</v>
      </c>
      <c r="C632" t="s">
        <v>628</v>
      </c>
      <c r="D632" t="s">
        <v>399</v>
      </c>
      <c r="G632">
        <v>3</v>
      </c>
      <c r="H632">
        <v>3</v>
      </c>
      <c r="I632">
        <v>0</v>
      </c>
      <c r="L632" s="1">
        <v>0</v>
      </c>
      <c r="M632" s="1">
        <f t="shared" si="25"/>
        <v>0</v>
      </c>
      <c r="N632" s="11">
        <f t="shared" si="26"/>
        <v>0</v>
      </c>
    </row>
    <row r="633" spans="2:14" x14ac:dyDescent="0.2">
      <c r="B633" t="s">
        <v>498</v>
      </c>
      <c r="C633" t="s">
        <v>625</v>
      </c>
      <c r="D633" t="s">
        <v>156</v>
      </c>
      <c r="G633">
        <v>1</v>
      </c>
      <c r="H633">
        <v>1</v>
      </c>
      <c r="I633">
        <v>0</v>
      </c>
      <c r="K633" s="1">
        <v>17.97</v>
      </c>
      <c r="L633" s="1">
        <v>4.0999999999999996</v>
      </c>
      <c r="M633" s="1">
        <f t="shared" ref="M633:M696" si="27">K633+L633</f>
        <v>22.07</v>
      </c>
      <c r="N633" s="11">
        <f t="shared" si="26"/>
        <v>17.97</v>
      </c>
    </row>
    <row r="634" spans="2:14" x14ac:dyDescent="0.2">
      <c r="B634" t="s">
        <v>390</v>
      </c>
      <c r="C634" t="s">
        <v>629</v>
      </c>
      <c r="D634" t="s">
        <v>551</v>
      </c>
      <c r="G634">
        <v>1</v>
      </c>
      <c r="H634">
        <v>1</v>
      </c>
      <c r="I634">
        <v>0</v>
      </c>
      <c r="L634" s="1">
        <v>0</v>
      </c>
      <c r="M634" s="1">
        <f t="shared" si="27"/>
        <v>0</v>
      </c>
      <c r="N634" s="11">
        <f t="shared" si="26"/>
        <v>0</v>
      </c>
    </row>
    <row r="635" spans="2:14" x14ac:dyDescent="0.2">
      <c r="B635" t="s">
        <v>390</v>
      </c>
      <c r="C635" t="s">
        <v>630</v>
      </c>
      <c r="D635" t="s">
        <v>399</v>
      </c>
      <c r="G635">
        <v>2</v>
      </c>
      <c r="H635">
        <v>2</v>
      </c>
      <c r="I635">
        <v>0</v>
      </c>
      <c r="L635" s="1">
        <v>0</v>
      </c>
      <c r="M635" s="1">
        <f t="shared" si="27"/>
        <v>0</v>
      </c>
      <c r="N635" s="11">
        <f t="shared" si="26"/>
        <v>0</v>
      </c>
    </row>
    <row r="636" spans="2:14" x14ac:dyDescent="0.2">
      <c r="B636" t="s">
        <v>631</v>
      </c>
      <c r="C636" t="s">
        <v>632</v>
      </c>
      <c r="D636" t="s">
        <v>34</v>
      </c>
      <c r="G636">
        <v>1</v>
      </c>
      <c r="H636">
        <v>1</v>
      </c>
      <c r="I636">
        <v>0</v>
      </c>
      <c r="L636" s="1">
        <v>0</v>
      </c>
      <c r="M636" s="1">
        <f t="shared" si="27"/>
        <v>0</v>
      </c>
      <c r="N636" s="11">
        <f t="shared" si="26"/>
        <v>0</v>
      </c>
    </row>
    <row r="637" spans="2:14" x14ac:dyDescent="0.2">
      <c r="B637" t="s">
        <v>633</v>
      </c>
      <c r="C637" t="s">
        <v>634</v>
      </c>
      <c r="D637" t="s">
        <v>91</v>
      </c>
      <c r="G637">
        <v>1</v>
      </c>
      <c r="H637">
        <v>1</v>
      </c>
      <c r="I637">
        <v>0</v>
      </c>
      <c r="L637" s="1">
        <v>0</v>
      </c>
      <c r="M637" s="1">
        <f t="shared" si="27"/>
        <v>0</v>
      </c>
      <c r="N637" s="11">
        <f t="shared" si="26"/>
        <v>0</v>
      </c>
    </row>
    <row r="638" spans="2:14" x14ac:dyDescent="0.2">
      <c r="B638" t="s">
        <v>635</v>
      </c>
      <c r="C638" t="s">
        <v>636</v>
      </c>
      <c r="D638" t="s">
        <v>97</v>
      </c>
      <c r="G638">
        <v>1</v>
      </c>
      <c r="H638">
        <v>0</v>
      </c>
      <c r="I638">
        <v>1</v>
      </c>
      <c r="L638" s="1">
        <v>0</v>
      </c>
      <c r="M638" s="1">
        <f t="shared" si="27"/>
        <v>0</v>
      </c>
      <c r="N638" s="11">
        <f t="shared" si="26"/>
        <v>0</v>
      </c>
    </row>
    <row r="639" spans="2:14" x14ac:dyDescent="0.2">
      <c r="B639" t="s">
        <v>633</v>
      </c>
      <c r="C639" t="s">
        <v>637</v>
      </c>
      <c r="D639" t="s">
        <v>91</v>
      </c>
      <c r="G639">
        <v>1</v>
      </c>
      <c r="H639">
        <v>0</v>
      </c>
      <c r="I639">
        <v>1</v>
      </c>
      <c r="L639" s="1">
        <v>0</v>
      </c>
      <c r="M639" s="1">
        <f t="shared" si="27"/>
        <v>0</v>
      </c>
      <c r="N639" s="11">
        <f t="shared" si="26"/>
        <v>0</v>
      </c>
    </row>
    <row r="640" spans="2:14" x14ac:dyDescent="0.2">
      <c r="B640" t="s">
        <v>633</v>
      </c>
      <c r="C640" t="s">
        <v>638</v>
      </c>
      <c r="D640" t="s">
        <v>95</v>
      </c>
      <c r="G640">
        <v>1</v>
      </c>
      <c r="H640">
        <v>0</v>
      </c>
      <c r="I640">
        <v>1</v>
      </c>
      <c r="L640" s="1">
        <v>0</v>
      </c>
      <c r="M640" s="1">
        <f t="shared" si="27"/>
        <v>0</v>
      </c>
      <c r="N640" s="11">
        <f t="shared" si="26"/>
        <v>0</v>
      </c>
    </row>
    <row r="641" spans="1:14" x14ac:dyDescent="0.2">
      <c r="A641" t="s">
        <v>639</v>
      </c>
      <c r="B641" t="s">
        <v>633</v>
      </c>
      <c r="C641" t="s">
        <v>640</v>
      </c>
      <c r="D641" t="s">
        <v>91</v>
      </c>
      <c r="G641">
        <v>1</v>
      </c>
      <c r="H641">
        <v>0</v>
      </c>
      <c r="I641">
        <v>1</v>
      </c>
      <c r="L641" s="1">
        <v>0</v>
      </c>
      <c r="M641" s="1">
        <f t="shared" si="27"/>
        <v>0</v>
      </c>
      <c r="N641" s="11">
        <f t="shared" si="26"/>
        <v>0</v>
      </c>
    </row>
    <row r="642" spans="1:14" x14ac:dyDescent="0.2">
      <c r="B642" t="s">
        <v>635</v>
      </c>
      <c r="C642" t="s">
        <v>632</v>
      </c>
      <c r="D642" t="s">
        <v>97</v>
      </c>
      <c r="G642">
        <v>2</v>
      </c>
      <c r="H642">
        <v>2</v>
      </c>
      <c r="I642">
        <v>0</v>
      </c>
      <c r="L642" s="1">
        <v>0</v>
      </c>
      <c r="M642" s="1">
        <f t="shared" si="27"/>
        <v>0</v>
      </c>
      <c r="N642" s="11">
        <f t="shared" si="26"/>
        <v>0</v>
      </c>
    </row>
    <row r="643" spans="1:14" x14ac:dyDescent="0.2">
      <c r="B643" t="s">
        <v>631</v>
      </c>
      <c r="C643" t="s">
        <v>641</v>
      </c>
      <c r="D643" t="s">
        <v>34</v>
      </c>
      <c r="G643">
        <v>1</v>
      </c>
      <c r="H643">
        <v>1</v>
      </c>
      <c r="I643">
        <v>0</v>
      </c>
      <c r="L643" s="1">
        <v>0</v>
      </c>
      <c r="M643" s="1">
        <f t="shared" si="27"/>
        <v>0</v>
      </c>
      <c r="N643" s="11">
        <f t="shared" ref="N643:N706" si="28">G643*K643</f>
        <v>0</v>
      </c>
    </row>
    <row r="644" spans="1:14" x14ac:dyDescent="0.2">
      <c r="B644" t="s">
        <v>635</v>
      </c>
      <c r="C644" t="s">
        <v>642</v>
      </c>
      <c r="D644" t="s">
        <v>97</v>
      </c>
      <c r="G644">
        <v>1</v>
      </c>
      <c r="H644">
        <v>1</v>
      </c>
      <c r="I644">
        <v>0</v>
      </c>
      <c r="L644" s="1">
        <v>0</v>
      </c>
      <c r="M644" s="1">
        <f t="shared" si="27"/>
        <v>0</v>
      </c>
      <c r="N644" s="11">
        <f t="shared" si="28"/>
        <v>0</v>
      </c>
    </row>
    <row r="645" spans="1:14" x14ac:dyDescent="0.2">
      <c r="B645" t="s">
        <v>635</v>
      </c>
      <c r="C645" t="s">
        <v>643</v>
      </c>
      <c r="D645" t="s">
        <v>97</v>
      </c>
      <c r="G645">
        <v>1</v>
      </c>
      <c r="H645">
        <v>1</v>
      </c>
      <c r="I645">
        <v>0</v>
      </c>
      <c r="L645" s="1">
        <v>0</v>
      </c>
      <c r="M645" s="1">
        <f t="shared" si="27"/>
        <v>0</v>
      </c>
      <c r="N645" s="11">
        <f t="shared" si="28"/>
        <v>0</v>
      </c>
    </row>
    <row r="646" spans="1:14" x14ac:dyDescent="0.2">
      <c r="B646" t="s">
        <v>631</v>
      </c>
      <c r="C646" t="s">
        <v>644</v>
      </c>
      <c r="D646" t="s">
        <v>34</v>
      </c>
      <c r="G646">
        <v>1</v>
      </c>
      <c r="H646">
        <v>1</v>
      </c>
      <c r="I646">
        <v>0</v>
      </c>
      <c r="L646" s="1">
        <v>0</v>
      </c>
      <c r="M646" s="1">
        <f t="shared" si="27"/>
        <v>0</v>
      </c>
      <c r="N646" s="11">
        <f t="shared" si="28"/>
        <v>0</v>
      </c>
    </row>
    <row r="647" spans="1:14" x14ac:dyDescent="0.2">
      <c r="B647" t="s">
        <v>631</v>
      </c>
      <c r="C647" t="s">
        <v>645</v>
      </c>
      <c r="D647" t="s">
        <v>646</v>
      </c>
      <c r="G647">
        <v>1</v>
      </c>
      <c r="H647">
        <v>1</v>
      </c>
      <c r="I647">
        <v>0</v>
      </c>
      <c r="L647" s="1">
        <v>0</v>
      </c>
      <c r="M647" s="1">
        <f t="shared" si="27"/>
        <v>0</v>
      </c>
      <c r="N647" s="11">
        <f t="shared" si="28"/>
        <v>0</v>
      </c>
    </row>
    <row r="648" spans="1:14" x14ac:dyDescent="0.2">
      <c r="B648" t="s">
        <v>635</v>
      </c>
      <c r="C648" t="s">
        <v>647</v>
      </c>
      <c r="D648" t="s">
        <v>97</v>
      </c>
      <c r="G648">
        <v>1</v>
      </c>
      <c r="H648">
        <v>1</v>
      </c>
      <c r="I648">
        <v>0</v>
      </c>
      <c r="L648" s="1">
        <v>0</v>
      </c>
      <c r="M648" s="1">
        <f t="shared" si="27"/>
        <v>0</v>
      </c>
      <c r="N648" s="11">
        <f t="shared" si="28"/>
        <v>0</v>
      </c>
    </row>
    <row r="649" spans="1:14" x14ac:dyDescent="0.2">
      <c r="B649" t="s">
        <v>635</v>
      </c>
      <c r="C649" t="s">
        <v>648</v>
      </c>
      <c r="D649" t="s">
        <v>257</v>
      </c>
      <c r="G649">
        <v>1</v>
      </c>
      <c r="H649">
        <v>1</v>
      </c>
      <c r="I649">
        <v>0</v>
      </c>
      <c r="L649" s="1">
        <v>0</v>
      </c>
      <c r="M649" s="1">
        <f t="shared" si="27"/>
        <v>0</v>
      </c>
      <c r="N649" s="11">
        <f t="shared" si="28"/>
        <v>0</v>
      </c>
    </row>
    <row r="650" spans="1:14" x14ac:dyDescent="0.2">
      <c r="B650" t="s">
        <v>631</v>
      </c>
      <c r="C650" t="s">
        <v>645</v>
      </c>
      <c r="D650" t="s">
        <v>649</v>
      </c>
      <c r="G650">
        <v>2</v>
      </c>
      <c r="H650">
        <v>2</v>
      </c>
      <c r="I650">
        <v>0</v>
      </c>
      <c r="L650" s="1">
        <v>0</v>
      </c>
      <c r="M650" s="1">
        <f t="shared" si="27"/>
        <v>0</v>
      </c>
      <c r="N650" s="11">
        <f t="shared" si="28"/>
        <v>0</v>
      </c>
    </row>
    <row r="651" spans="1:14" x14ac:dyDescent="0.2">
      <c r="B651" t="s">
        <v>635</v>
      </c>
      <c r="C651" t="s">
        <v>650</v>
      </c>
      <c r="D651" t="s">
        <v>97</v>
      </c>
      <c r="G651">
        <v>2</v>
      </c>
      <c r="H651">
        <v>2</v>
      </c>
      <c r="I651">
        <v>0</v>
      </c>
      <c r="L651" s="1">
        <v>0</v>
      </c>
      <c r="M651" s="1">
        <f t="shared" si="27"/>
        <v>0</v>
      </c>
      <c r="N651" s="11">
        <f t="shared" si="28"/>
        <v>0</v>
      </c>
    </row>
    <row r="652" spans="1:14" x14ac:dyDescent="0.2">
      <c r="B652" t="s">
        <v>631</v>
      </c>
      <c r="C652" t="s">
        <v>650</v>
      </c>
      <c r="D652" t="s">
        <v>34</v>
      </c>
      <c r="G652">
        <v>1</v>
      </c>
      <c r="H652">
        <v>1</v>
      </c>
      <c r="I652">
        <v>0</v>
      </c>
      <c r="L652" s="1">
        <v>0</v>
      </c>
      <c r="M652" s="1">
        <f t="shared" si="27"/>
        <v>0</v>
      </c>
      <c r="N652" s="11">
        <f t="shared" si="28"/>
        <v>0</v>
      </c>
    </row>
    <row r="653" spans="1:14" x14ac:dyDescent="0.2">
      <c r="B653" t="s">
        <v>631</v>
      </c>
      <c r="C653" t="s">
        <v>651</v>
      </c>
      <c r="D653" t="s">
        <v>34</v>
      </c>
      <c r="G653">
        <v>1</v>
      </c>
      <c r="H653">
        <v>1</v>
      </c>
      <c r="I653">
        <v>0</v>
      </c>
      <c r="L653" s="1">
        <v>0</v>
      </c>
      <c r="M653" s="1">
        <f t="shared" si="27"/>
        <v>0</v>
      </c>
      <c r="N653" s="11">
        <f t="shared" si="28"/>
        <v>0</v>
      </c>
    </row>
    <row r="654" spans="1:14" x14ac:dyDescent="0.2">
      <c r="B654" t="s">
        <v>631</v>
      </c>
      <c r="C654" t="s">
        <v>652</v>
      </c>
      <c r="D654" t="s">
        <v>34</v>
      </c>
      <c r="G654">
        <v>1</v>
      </c>
      <c r="H654">
        <v>0</v>
      </c>
      <c r="I654">
        <v>1</v>
      </c>
      <c r="L654" s="1">
        <v>0</v>
      </c>
      <c r="M654" s="1">
        <f t="shared" si="27"/>
        <v>0</v>
      </c>
      <c r="N654" s="11">
        <f t="shared" si="28"/>
        <v>0</v>
      </c>
    </row>
    <row r="655" spans="1:14" x14ac:dyDescent="0.2">
      <c r="B655" t="s">
        <v>631</v>
      </c>
      <c r="C655" t="s">
        <v>653</v>
      </c>
      <c r="D655" t="s">
        <v>34</v>
      </c>
      <c r="G655">
        <v>1</v>
      </c>
      <c r="H655">
        <v>1</v>
      </c>
      <c r="I655">
        <v>0</v>
      </c>
      <c r="L655" s="1">
        <v>0</v>
      </c>
      <c r="M655" s="1">
        <f t="shared" si="27"/>
        <v>0</v>
      </c>
      <c r="N655" s="11">
        <f t="shared" si="28"/>
        <v>0</v>
      </c>
    </row>
    <row r="656" spans="1:14" x14ac:dyDescent="0.2">
      <c r="B656" t="s">
        <v>635</v>
      </c>
      <c r="C656" t="s">
        <v>654</v>
      </c>
      <c r="D656" t="s">
        <v>97</v>
      </c>
      <c r="G656">
        <v>1</v>
      </c>
      <c r="H656">
        <v>1</v>
      </c>
      <c r="I656">
        <v>0</v>
      </c>
      <c r="L656" s="1">
        <v>0</v>
      </c>
      <c r="M656" s="1">
        <f t="shared" si="27"/>
        <v>0</v>
      </c>
      <c r="N656" s="11">
        <f t="shared" si="28"/>
        <v>0</v>
      </c>
    </row>
    <row r="657" spans="2:14" x14ac:dyDescent="0.2">
      <c r="B657" t="s">
        <v>631</v>
      </c>
      <c r="C657" t="s">
        <v>655</v>
      </c>
      <c r="D657" t="s">
        <v>17</v>
      </c>
      <c r="G657">
        <v>1</v>
      </c>
      <c r="H657">
        <v>1</v>
      </c>
      <c r="I657">
        <v>0</v>
      </c>
      <c r="L657" s="1">
        <v>0</v>
      </c>
      <c r="M657" s="1">
        <f t="shared" si="27"/>
        <v>0</v>
      </c>
      <c r="N657" s="11">
        <f t="shared" si="28"/>
        <v>0</v>
      </c>
    </row>
    <row r="658" spans="2:14" x14ac:dyDescent="0.2">
      <c r="B658" t="s">
        <v>631</v>
      </c>
      <c r="C658" t="s">
        <v>656</v>
      </c>
      <c r="D658" t="s">
        <v>17</v>
      </c>
      <c r="G658">
        <v>1</v>
      </c>
      <c r="H658">
        <v>1</v>
      </c>
      <c r="I658">
        <v>0</v>
      </c>
      <c r="L658" s="1">
        <v>0</v>
      </c>
      <c r="M658" s="1">
        <f t="shared" si="27"/>
        <v>0</v>
      </c>
      <c r="N658" s="11">
        <f t="shared" si="28"/>
        <v>0</v>
      </c>
    </row>
    <row r="659" spans="2:14" x14ac:dyDescent="0.2">
      <c r="B659" t="s">
        <v>631</v>
      </c>
      <c r="C659" t="s">
        <v>657</v>
      </c>
      <c r="D659" t="s">
        <v>34</v>
      </c>
      <c r="G659">
        <v>1</v>
      </c>
      <c r="H659">
        <v>1</v>
      </c>
      <c r="I659">
        <v>0</v>
      </c>
      <c r="L659" s="1">
        <v>0</v>
      </c>
      <c r="M659" s="1">
        <f t="shared" si="27"/>
        <v>0</v>
      </c>
      <c r="N659" s="11">
        <f t="shared" si="28"/>
        <v>0</v>
      </c>
    </row>
    <row r="660" spans="2:14" x14ac:dyDescent="0.2">
      <c r="B660" t="s">
        <v>633</v>
      </c>
      <c r="C660" t="s">
        <v>658</v>
      </c>
      <c r="D660" t="s">
        <v>97</v>
      </c>
      <c r="G660">
        <v>1</v>
      </c>
      <c r="H660">
        <v>1</v>
      </c>
      <c r="I660">
        <v>0</v>
      </c>
      <c r="L660" s="1">
        <v>0</v>
      </c>
      <c r="M660" s="1">
        <f t="shared" si="27"/>
        <v>0</v>
      </c>
      <c r="N660" s="11">
        <f t="shared" si="28"/>
        <v>0</v>
      </c>
    </row>
    <row r="661" spans="2:14" x14ac:dyDescent="0.2">
      <c r="B661" t="s">
        <v>631</v>
      </c>
      <c r="C661" t="s">
        <v>659</v>
      </c>
      <c r="D661" t="s">
        <v>71</v>
      </c>
      <c r="G661">
        <v>1</v>
      </c>
      <c r="H661">
        <v>1</v>
      </c>
      <c r="I661">
        <v>0</v>
      </c>
      <c r="L661" s="1">
        <v>0</v>
      </c>
      <c r="M661" s="1">
        <f t="shared" si="27"/>
        <v>0</v>
      </c>
      <c r="N661" s="11">
        <f t="shared" si="28"/>
        <v>0</v>
      </c>
    </row>
    <row r="662" spans="2:14" x14ac:dyDescent="0.2">
      <c r="B662" t="s">
        <v>633</v>
      </c>
      <c r="C662" t="s">
        <v>660</v>
      </c>
      <c r="D662" t="s">
        <v>95</v>
      </c>
      <c r="G662">
        <v>1</v>
      </c>
      <c r="H662">
        <v>1</v>
      </c>
      <c r="I662">
        <v>0</v>
      </c>
      <c r="L662" s="1">
        <v>0</v>
      </c>
      <c r="M662" s="1">
        <f t="shared" si="27"/>
        <v>0</v>
      </c>
      <c r="N662" s="11">
        <f t="shared" si="28"/>
        <v>0</v>
      </c>
    </row>
    <row r="663" spans="2:14" x14ac:dyDescent="0.2">
      <c r="B663" t="s">
        <v>635</v>
      </c>
      <c r="C663" t="s">
        <v>661</v>
      </c>
      <c r="D663" t="s">
        <v>261</v>
      </c>
      <c r="G663">
        <v>1</v>
      </c>
      <c r="H663">
        <v>1</v>
      </c>
      <c r="I663">
        <v>0</v>
      </c>
      <c r="L663" s="1">
        <v>0</v>
      </c>
      <c r="M663" s="1">
        <f t="shared" si="27"/>
        <v>0</v>
      </c>
      <c r="N663" s="11">
        <f t="shared" si="28"/>
        <v>0</v>
      </c>
    </row>
    <row r="664" spans="2:14" x14ac:dyDescent="0.2">
      <c r="B664" t="s">
        <v>635</v>
      </c>
      <c r="C664" t="s">
        <v>662</v>
      </c>
      <c r="D664" t="s">
        <v>261</v>
      </c>
      <c r="G664">
        <v>1</v>
      </c>
      <c r="H664">
        <v>1</v>
      </c>
      <c r="I664">
        <v>0</v>
      </c>
      <c r="L664" s="1">
        <v>0</v>
      </c>
      <c r="M664" s="1">
        <f t="shared" si="27"/>
        <v>0</v>
      </c>
      <c r="N664" s="11">
        <f t="shared" si="28"/>
        <v>0</v>
      </c>
    </row>
    <row r="665" spans="2:14" x14ac:dyDescent="0.2">
      <c r="B665" t="s">
        <v>631</v>
      </c>
      <c r="C665" t="s">
        <v>663</v>
      </c>
      <c r="D665" t="s">
        <v>34</v>
      </c>
      <c r="G665">
        <v>1</v>
      </c>
      <c r="H665">
        <v>1</v>
      </c>
      <c r="I665">
        <v>0</v>
      </c>
      <c r="L665" s="1">
        <v>0</v>
      </c>
      <c r="M665" s="1">
        <f t="shared" si="27"/>
        <v>0</v>
      </c>
      <c r="N665" s="11">
        <f t="shared" si="28"/>
        <v>0</v>
      </c>
    </row>
    <row r="666" spans="2:14" x14ac:dyDescent="0.2">
      <c r="B666" t="s">
        <v>631</v>
      </c>
      <c r="C666" t="s">
        <v>664</v>
      </c>
      <c r="D666" t="s">
        <v>34</v>
      </c>
      <c r="G666">
        <v>1</v>
      </c>
      <c r="H666">
        <v>1</v>
      </c>
      <c r="I666">
        <v>0</v>
      </c>
      <c r="L666" s="1">
        <v>0</v>
      </c>
      <c r="M666" s="1">
        <f t="shared" si="27"/>
        <v>0</v>
      </c>
      <c r="N666" s="11">
        <f t="shared" si="28"/>
        <v>0</v>
      </c>
    </row>
    <row r="667" spans="2:14" x14ac:dyDescent="0.2">
      <c r="B667" t="s">
        <v>635</v>
      </c>
      <c r="C667" t="s">
        <v>665</v>
      </c>
      <c r="D667" t="s">
        <v>97</v>
      </c>
      <c r="G667">
        <v>1</v>
      </c>
      <c r="H667">
        <v>1</v>
      </c>
      <c r="I667">
        <v>0</v>
      </c>
      <c r="L667" s="1">
        <v>0</v>
      </c>
      <c r="M667" s="1">
        <f t="shared" si="27"/>
        <v>0</v>
      </c>
      <c r="N667" s="11">
        <f t="shared" si="28"/>
        <v>0</v>
      </c>
    </row>
    <row r="668" spans="2:14" x14ac:dyDescent="0.2">
      <c r="B668" t="s">
        <v>633</v>
      </c>
      <c r="C668" t="s">
        <v>666</v>
      </c>
      <c r="D668" t="s">
        <v>237</v>
      </c>
      <c r="G668">
        <v>1</v>
      </c>
      <c r="H668">
        <v>1</v>
      </c>
      <c r="I668">
        <v>0</v>
      </c>
      <c r="L668" s="1">
        <v>0</v>
      </c>
      <c r="M668" s="1">
        <f t="shared" si="27"/>
        <v>0</v>
      </c>
      <c r="N668" s="11">
        <f t="shared" si="28"/>
        <v>0</v>
      </c>
    </row>
    <row r="669" spans="2:14" x14ac:dyDescent="0.2">
      <c r="B669" t="s">
        <v>635</v>
      </c>
      <c r="C669" t="s">
        <v>667</v>
      </c>
      <c r="D669" t="s">
        <v>257</v>
      </c>
      <c r="G669">
        <v>1</v>
      </c>
      <c r="H669">
        <v>1</v>
      </c>
      <c r="I669">
        <v>0</v>
      </c>
      <c r="L669" s="1">
        <v>0</v>
      </c>
      <c r="M669" s="1">
        <f t="shared" si="27"/>
        <v>0</v>
      </c>
      <c r="N669" s="11">
        <f t="shared" si="28"/>
        <v>0</v>
      </c>
    </row>
    <row r="670" spans="2:14" x14ac:dyDescent="0.2">
      <c r="B670" t="s">
        <v>668</v>
      </c>
      <c r="C670" t="s">
        <v>669</v>
      </c>
      <c r="D670" t="s">
        <v>17</v>
      </c>
      <c r="G670">
        <v>1</v>
      </c>
      <c r="H670">
        <v>1</v>
      </c>
      <c r="I670">
        <v>0</v>
      </c>
      <c r="L670" s="1">
        <v>0</v>
      </c>
      <c r="M670" s="1">
        <f t="shared" si="27"/>
        <v>0</v>
      </c>
      <c r="N670" s="11">
        <f t="shared" si="28"/>
        <v>0</v>
      </c>
    </row>
    <row r="671" spans="2:14" x14ac:dyDescent="0.2">
      <c r="B671" t="s">
        <v>670</v>
      </c>
      <c r="C671" t="s">
        <v>671</v>
      </c>
      <c r="D671" t="s">
        <v>672</v>
      </c>
      <c r="G671">
        <v>1</v>
      </c>
      <c r="H671">
        <v>1</v>
      </c>
      <c r="I671">
        <v>0</v>
      </c>
      <c r="L671" s="1">
        <v>0</v>
      </c>
      <c r="M671" s="1">
        <f t="shared" si="27"/>
        <v>0</v>
      </c>
      <c r="N671" s="11">
        <f t="shared" si="28"/>
        <v>0</v>
      </c>
    </row>
    <row r="672" spans="2:14" x14ac:dyDescent="0.2">
      <c r="B672" t="s">
        <v>668</v>
      </c>
      <c r="C672" t="s">
        <v>673</v>
      </c>
      <c r="D672" t="s">
        <v>674</v>
      </c>
      <c r="G672">
        <v>1</v>
      </c>
      <c r="H672">
        <v>1</v>
      </c>
      <c r="I672">
        <v>0</v>
      </c>
      <c r="L672" s="1">
        <v>0</v>
      </c>
      <c r="M672" s="1">
        <f t="shared" si="27"/>
        <v>0</v>
      </c>
      <c r="N672" s="11">
        <f t="shared" si="28"/>
        <v>0</v>
      </c>
    </row>
    <row r="673" spans="2:21" x14ac:dyDescent="0.2">
      <c r="B673" t="s">
        <v>668</v>
      </c>
      <c r="C673" t="s">
        <v>675</v>
      </c>
      <c r="D673" t="s">
        <v>34</v>
      </c>
      <c r="G673">
        <v>1</v>
      </c>
      <c r="H673">
        <v>1</v>
      </c>
      <c r="I673">
        <v>0</v>
      </c>
      <c r="L673" s="1">
        <v>0</v>
      </c>
      <c r="M673" s="1">
        <f t="shared" si="27"/>
        <v>0</v>
      </c>
      <c r="N673" s="11">
        <f t="shared" si="28"/>
        <v>0</v>
      </c>
    </row>
    <row r="674" spans="2:21" x14ac:dyDescent="0.2">
      <c r="B674" t="s">
        <v>93</v>
      </c>
      <c r="C674" t="s">
        <v>676</v>
      </c>
      <c r="D674" t="s">
        <v>91</v>
      </c>
      <c r="G674">
        <v>1</v>
      </c>
      <c r="H674">
        <v>1</v>
      </c>
      <c r="I674">
        <v>0</v>
      </c>
      <c r="L674" s="1">
        <v>0</v>
      </c>
      <c r="M674" s="1">
        <f t="shared" si="27"/>
        <v>0</v>
      </c>
      <c r="N674" s="11">
        <f t="shared" si="28"/>
        <v>0</v>
      </c>
    </row>
    <row r="675" spans="2:21" ht="18" customHeight="1" x14ac:dyDescent="0.2">
      <c r="B675" t="s">
        <v>96</v>
      </c>
      <c r="C675" t="s">
        <v>676</v>
      </c>
      <c r="D675" t="s">
        <v>97</v>
      </c>
      <c r="G675">
        <v>1</v>
      </c>
      <c r="H675">
        <v>1</v>
      </c>
      <c r="I675">
        <v>0</v>
      </c>
      <c r="L675" s="1">
        <v>0</v>
      </c>
      <c r="M675" s="1">
        <f t="shared" si="27"/>
        <v>0</v>
      </c>
      <c r="N675" s="11">
        <f t="shared" si="28"/>
        <v>0</v>
      </c>
    </row>
    <row r="676" spans="2:21" x14ac:dyDescent="0.2">
      <c r="B676" t="s">
        <v>96</v>
      </c>
      <c r="C676" t="s">
        <v>677</v>
      </c>
      <c r="D676" t="s">
        <v>97</v>
      </c>
      <c r="G676">
        <v>2</v>
      </c>
      <c r="H676">
        <v>2</v>
      </c>
      <c r="I676">
        <v>0</v>
      </c>
      <c r="L676" s="1">
        <v>0</v>
      </c>
      <c r="M676" s="1">
        <f t="shared" si="27"/>
        <v>0</v>
      </c>
      <c r="N676" s="11">
        <f t="shared" si="28"/>
        <v>0</v>
      </c>
    </row>
    <row r="677" spans="2:21" x14ac:dyDescent="0.2">
      <c r="B677" t="s">
        <v>99</v>
      </c>
      <c r="C677" t="s">
        <v>678</v>
      </c>
      <c r="D677" t="s">
        <v>34</v>
      </c>
      <c r="G677">
        <v>1</v>
      </c>
      <c r="H677">
        <v>1</v>
      </c>
      <c r="I677">
        <v>0</v>
      </c>
      <c r="L677" s="1">
        <v>0</v>
      </c>
      <c r="M677" s="1">
        <f t="shared" si="27"/>
        <v>0</v>
      </c>
      <c r="N677" s="11">
        <f t="shared" si="28"/>
        <v>0</v>
      </c>
    </row>
    <row r="678" spans="2:21" x14ac:dyDescent="0.2">
      <c r="B678" t="s">
        <v>93</v>
      </c>
      <c r="C678" t="s">
        <v>679</v>
      </c>
      <c r="D678" t="s">
        <v>91</v>
      </c>
      <c r="G678">
        <v>1</v>
      </c>
      <c r="H678">
        <v>1</v>
      </c>
      <c r="I678">
        <v>0</v>
      </c>
      <c r="L678" s="1">
        <v>0</v>
      </c>
      <c r="M678" s="1">
        <f t="shared" si="27"/>
        <v>0</v>
      </c>
      <c r="N678" s="11">
        <f t="shared" si="28"/>
        <v>0</v>
      </c>
    </row>
    <row r="679" spans="2:21" x14ac:dyDescent="0.2">
      <c r="B679" t="s">
        <v>670</v>
      </c>
      <c r="C679" t="s">
        <v>680</v>
      </c>
      <c r="D679" t="s">
        <v>97</v>
      </c>
      <c r="G679">
        <v>3</v>
      </c>
      <c r="H679">
        <v>3</v>
      </c>
      <c r="I679">
        <v>0</v>
      </c>
      <c r="K679" s="1">
        <v>2</v>
      </c>
      <c r="L679" s="1">
        <v>0</v>
      </c>
      <c r="M679" s="1">
        <f t="shared" si="27"/>
        <v>2</v>
      </c>
      <c r="N679" s="11">
        <f t="shared" si="28"/>
        <v>6</v>
      </c>
    </row>
    <row r="680" spans="2:21" x14ac:dyDescent="0.2">
      <c r="B680" t="s">
        <v>668</v>
      </c>
      <c r="C680" t="s">
        <v>681</v>
      </c>
      <c r="D680" t="s">
        <v>34</v>
      </c>
      <c r="G680">
        <v>3</v>
      </c>
      <c r="H680">
        <v>3</v>
      </c>
      <c r="I680">
        <v>0</v>
      </c>
      <c r="K680" s="1">
        <v>2</v>
      </c>
      <c r="L680" s="1">
        <v>0</v>
      </c>
      <c r="M680" s="1">
        <f t="shared" si="27"/>
        <v>2</v>
      </c>
      <c r="N680" s="11">
        <f t="shared" si="28"/>
        <v>6</v>
      </c>
    </row>
    <row r="681" spans="2:21" x14ac:dyDescent="0.2">
      <c r="B681" t="s">
        <v>670</v>
      </c>
      <c r="C681" t="s">
        <v>682</v>
      </c>
      <c r="D681" t="s">
        <v>97</v>
      </c>
      <c r="G681">
        <v>2</v>
      </c>
      <c r="H681">
        <v>2</v>
      </c>
      <c r="I681">
        <v>0</v>
      </c>
      <c r="K681" s="1">
        <v>3</v>
      </c>
      <c r="L681" s="1">
        <v>0</v>
      </c>
      <c r="M681" s="1">
        <f t="shared" si="27"/>
        <v>3</v>
      </c>
      <c r="N681" s="11">
        <f t="shared" si="28"/>
        <v>6</v>
      </c>
    </row>
    <row r="682" spans="2:21" x14ac:dyDescent="0.2">
      <c r="B682" t="s">
        <v>670</v>
      </c>
      <c r="C682" t="s">
        <v>683</v>
      </c>
      <c r="D682" t="s">
        <v>97</v>
      </c>
      <c r="G682">
        <v>2</v>
      </c>
      <c r="H682">
        <v>0</v>
      </c>
      <c r="I682">
        <v>2</v>
      </c>
      <c r="K682" s="1">
        <v>3</v>
      </c>
      <c r="L682" s="1">
        <v>0</v>
      </c>
      <c r="M682" s="1">
        <f t="shared" si="27"/>
        <v>3</v>
      </c>
      <c r="N682" s="11">
        <f t="shared" si="28"/>
        <v>6</v>
      </c>
    </row>
    <row r="683" spans="2:21" x14ac:dyDescent="0.2">
      <c r="B683" t="s">
        <v>668</v>
      </c>
      <c r="C683" t="s">
        <v>684</v>
      </c>
      <c r="D683" t="s">
        <v>17</v>
      </c>
      <c r="G683">
        <v>3</v>
      </c>
      <c r="H683">
        <v>3</v>
      </c>
      <c r="I683">
        <v>0</v>
      </c>
      <c r="K683" s="1">
        <v>2</v>
      </c>
      <c r="L683" s="1">
        <v>0</v>
      </c>
      <c r="M683" s="1">
        <f t="shared" si="27"/>
        <v>2</v>
      </c>
      <c r="N683" s="11">
        <f t="shared" si="28"/>
        <v>6</v>
      </c>
    </row>
    <row r="684" spans="2:21" x14ac:dyDescent="0.2">
      <c r="B684" t="s">
        <v>668</v>
      </c>
      <c r="C684" t="s">
        <v>685</v>
      </c>
      <c r="D684" t="s">
        <v>17</v>
      </c>
      <c r="G684">
        <v>3</v>
      </c>
      <c r="H684">
        <v>3</v>
      </c>
      <c r="I684">
        <v>0</v>
      </c>
      <c r="K684" s="1">
        <v>2</v>
      </c>
      <c r="L684" s="1">
        <v>0</v>
      </c>
      <c r="M684" s="1">
        <f t="shared" si="27"/>
        <v>2</v>
      </c>
      <c r="N684" s="11">
        <f t="shared" si="28"/>
        <v>6</v>
      </c>
    </row>
    <row r="685" spans="2:21" x14ac:dyDescent="0.2">
      <c r="B685" t="s">
        <v>668</v>
      </c>
      <c r="C685" t="s">
        <v>686</v>
      </c>
      <c r="D685" t="s">
        <v>34</v>
      </c>
      <c r="G685">
        <v>5</v>
      </c>
      <c r="H685">
        <v>5</v>
      </c>
      <c r="I685">
        <v>0</v>
      </c>
      <c r="K685" s="1">
        <v>1.2</v>
      </c>
      <c r="L685" s="1">
        <v>0</v>
      </c>
      <c r="M685" s="1">
        <f t="shared" si="27"/>
        <v>1.2</v>
      </c>
      <c r="N685" s="11">
        <f t="shared" si="28"/>
        <v>6</v>
      </c>
    </row>
    <row r="686" spans="2:21" x14ac:dyDescent="0.2">
      <c r="B686" t="s">
        <v>670</v>
      </c>
      <c r="C686" t="s">
        <v>687</v>
      </c>
      <c r="D686" t="s">
        <v>97</v>
      </c>
      <c r="G686">
        <v>2</v>
      </c>
      <c r="H686">
        <v>2</v>
      </c>
      <c r="I686">
        <v>0</v>
      </c>
      <c r="K686" s="1">
        <v>3</v>
      </c>
      <c r="L686" s="1">
        <v>0</v>
      </c>
      <c r="M686" s="1">
        <f t="shared" si="27"/>
        <v>3</v>
      </c>
      <c r="N686" s="11">
        <f t="shared" si="28"/>
        <v>6</v>
      </c>
    </row>
    <row r="687" spans="2:21" x14ac:dyDescent="0.2">
      <c r="B687" t="s">
        <v>668</v>
      </c>
      <c r="C687" t="s">
        <v>688</v>
      </c>
      <c r="D687" t="s">
        <v>34</v>
      </c>
      <c r="G687">
        <v>1</v>
      </c>
      <c r="H687">
        <v>1</v>
      </c>
      <c r="I687">
        <v>0</v>
      </c>
      <c r="L687" s="1">
        <v>0</v>
      </c>
      <c r="M687" s="1">
        <f t="shared" si="27"/>
        <v>0</v>
      </c>
      <c r="N687" s="11">
        <f t="shared" si="28"/>
        <v>0</v>
      </c>
    </row>
    <row r="688" spans="2:21" ht="14" customHeight="1" x14ac:dyDescent="0.2">
      <c r="B688" t="s">
        <v>689</v>
      </c>
      <c r="C688" t="s">
        <v>690</v>
      </c>
      <c r="D688" t="s">
        <v>95</v>
      </c>
      <c r="F688" s="9"/>
      <c r="G688" s="10">
        <v>1</v>
      </c>
      <c r="H688" s="10">
        <v>1</v>
      </c>
      <c r="I688" s="10">
        <v>0</v>
      </c>
      <c r="J688" s="9"/>
      <c r="K688" s="9">
        <v>20</v>
      </c>
      <c r="L688" s="1">
        <v>0</v>
      </c>
      <c r="M688" s="1">
        <f t="shared" si="27"/>
        <v>20</v>
      </c>
      <c r="N688" s="11">
        <f t="shared" si="28"/>
        <v>20</v>
      </c>
      <c r="O688" s="9"/>
      <c r="P688" s="9"/>
      <c r="Q688" s="9"/>
      <c r="R688" s="9"/>
      <c r="S688" s="9"/>
      <c r="T688" s="9"/>
      <c r="U688" s="9"/>
    </row>
    <row r="689" spans="2:21" ht="14" customHeight="1" x14ac:dyDescent="0.2">
      <c r="B689" t="s">
        <v>691</v>
      </c>
      <c r="C689" t="s">
        <v>692</v>
      </c>
      <c r="D689" t="s">
        <v>97</v>
      </c>
      <c r="F689" s="9"/>
      <c r="G689" s="10">
        <v>1</v>
      </c>
      <c r="H689" s="10">
        <v>1</v>
      </c>
      <c r="I689" s="10">
        <v>0</v>
      </c>
      <c r="J689" s="9"/>
      <c r="K689" s="9">
        <v>20</v>
      </c>
      <c r="L689" s="1">
        <v>0</v>
      </c>
      <c r="M689" s="1">
        <f t="shared" si="27"/>
        <v>20</v>
      </c>
      <c r="N689" s="11">
        <f t="shared" si="28"/>
        <v>20</v>
      </c>
      <c r="O689" s="9"/>
      <c r="P689" s="9"/>
      <c r="Q689" s="9"/>
      <c r="R689" s="9"/>
      <c r="S689" s="9"/>
      <c r="T689" s="9"/>
      <c r="U689" s="9"/>
    </row>
    <row r="690" spans="2:21" ht="14" customHeight="1" x14ac:dyDescent="0.2">
      <c r="B690" t="s">
        <v>691</v>
      </c>
      <c r="C690" t="s">
        <v>693</v>
      </c>
      <c r="D690" t="s">
        <v>97</v>
      </c>
      <c r="F690" s="9"/>
      <c r="G690" s="10">
        <v>1</v>
      </c>
      <c r="H690" s="10">
        <v>1</v>
      </c>
      <c r="I690" s="10">
        <v>0</v>
      </c>
      <c r="J690" s="9"/>
      <c r="K690" s="9">
        <v>30</v>
      </c>
      <c r="L690" s="1">
        <v>0</v>
      </c>
      <c r="M690" s="1">
        <f t="shared" si="27"/>
        <v>30</v>
      </c>
      <c r="N690" s="11">
        <f t="shared" si="28"/>
        <v>30</v>
      </c>
      <c r="O690" s="9"/>
      <c r="P690" s="9"/>
      <c r="Q690" s="9"/>
      <c r="R690" s="9"/>
      <c r="S690" s="9"/>
      <c r="T690" s="9"/>
      <c r="U690" s="9"/>
    </row>
    <row r="691" spans="2:21" ht="14" customHeight="1" x14ac:dyDescent="0.2">
      <c r="B691" t="s">
        <v>694</v>
      </c>
      <c r="C691" t="s">
        <v>695</v>
      </c>
      <c r="D691" t="s">
        <v>91</v>
      </c>
      <c r="F691" s="9"/>
      <c r="G691" s="10">
        <v>1</v>
      </c>
      <c r="H691" s="10">
        <v>1</v>
      </c>
      <c r="I691" s="10">
        <v>0</v>
      </c>
      <c r="J691" s="9"/>
      <c r="K691" s="9">
        <v>30</v>
      </c>
      <c r="L691" s="1">
        <v>0</v>
      </c>
      <c r="M691" s="1">
        <f t="shared" si="27"/>
        <v>30</v>
      </c>
      <c r="N691" s="11">
        <f t="shared" si="28"/>
        <v>30</v>
      </c>
      <c r="O691" s="9"/>
      <c r="P691" s="9"/>
      <c r="Q691" s="9"/>
      <c r="R691" s="9"/>
      <c r="S691" s="9"/>
      <c r="T691" s="9"/>
      <c r="U691" s="9"/>
    </row>
    <row r="692" spans="2:21" ht="14" customHeight="1" x14ac:dyDescent="0.2">
      <c r="B692" t="s">
        <v>696</v>
      </c>
      <c r="C692" t="s">
        <v>697</v>
      </c>
      <c r="D692" t="s">
        <v>34</v>
      </c>
      <c r="F692" s="9"/>
      <c r="G692" s="10">
        <v>1</v>
      </c>
      <c r="H692" s="10">
        <v>1</v>
      </c>
      <c r="I692" s="10">
        <v>0</v>
      </c>
      <c r="J692" s="9"/>
      <c r="K692" s="9">
        <v>30</v>
      </c>
      <c r="L692" s="1">
        <v>0</v>
      </c>
      <c r="M692" s="1">
        <f t="shared" si="27"/>
        <v>30</v>
      </c>
      <c r="N692" s="11">
        <f t="shared" si="28"/>
        <v>30</v>
      </c>
      <c r="O692" s="9"/>
      <c r="P692" s="9"/>
      <c r="Q692" s="9"/>
      <c r="R692" s="9"/>
      <c r="S692" s="9"/>
      <c r="T692" s="9"/>
      <c r="U692" s="9"/>
    </row>
    <row r="693" spans="2:21" ht="14" customHeight="1" x14ac:dyDescent="0.2">
      <c r="B693" t="s">
        <v>698</v>
      </c>
      <c r="C693" t="s">
        <v>699</v>
      </c>
      <c r="D693" t="s">
        <v>97</v>
      </c>
      <c r="F693" s="9"/>
      <c r="G693" s="10">
        <v>1</v>
      </c>
      <c r="H693" s="10">
        <v>1</v>
      </c>
      <c r="I693" s="10">
        <v>0</v>
      </c>
      <c r="J693" s="9"/>
      <c r="K693" s="9">
        <v>20</v>
      </c>
      <c r="L693" s="1">
        <v>0</v>
      </c>
      <c r="M693" s="1">
        <f t="shared" si="27"/>
        <v>20</v>
      </c>
      <c r="N693" s="11">
        <f t="shared" si="28"/>
        <v>20</v>
      </c>
      <c r="O693" s="9"/>
      <c r="P693" s="9"/>
      <c r="Q693" s="9"/>
      <c r="R693" s="9"/>
      <c r="S693" s="9"/>
      <c r="T693" s="9"/>
      <c r="U693" s="9"/>
    </row>
    <row r="694" spans="2:21" ht="14" customHeight="1" x14ac:dyDescent="0.2">
      <c r="B694" t="s">
        <v>700</v>
      </c>
      <c r="C694" t="s">
        <v>701</v>
      </c>
      <c r="D694" t="s">
        <v>91</v>
      </c>
      <c r="F694" s="9"/>
      <c r="G694" s="10">
        <v>1</v>
      </c>
      <c r="H694" s="10">
        <v>1</v>
      </c>
      <c r="I694" s="10">
        <v>0</v>
      </c>
      <c r="J694" s="9"/>
      <c r="K694" s="9">
        <v>20</v>
      </c>
      <c r="L694" s="1">
        <v>0</v>
      </c>
      <c r="M694" s="1">
        <f t="shared" si="27"/>
        <v>20</v>
      </c>
      <c r="N694" s="11">
        <f t="shared" si="28"/>
        <v>20</v>
      </c>
      <c r="O694" s="9"/>
      <c r="P694" s="9"/>
      <c r="Q694" s="9"/>
      <c r="R694" s="9"/>
      <c r="S694" s="9"/>
      <c r="T694" s="9"/>
      <c r="U694" s="9"/>
    </row>
    <row r="695" spans="2:21" ht="14" customHeight="1" x14ac:dyDescent="0.2">
      <c r="B695" t="s">
        <v>700</v>
      </c>
      <c r="C695" t="s">
        <v>702</v>
      </c>
      <c r="D695" t="s">
        <v>91</v>
      </c>
      <c r="F695" s="9"/>
      <c r="G695" s="10">
        <v>1</v>
      </c>
      <c r="H695" s="10">
        <v>1</v>
      </c>
      <c r="I695" s="10">
        <v>0</v>
      </c>
      <c r="J695" s="9"/>
      <c r="K695" s="9">
        <v>30</v>
      </c>
      <c r="L695" s="1">
        <v>0</v>
      </c>
      <c r="M695" s="1">
        <f t="shared" si="27"/>
        <v>30</v>
      </c>
      <c r="N695" s="11">
        <f t="shared" si="28"/>
        <v>30</v>
      </c>
      <c r="O695" s="9"/>
      <c r="P695" s="9"/>
      <c r="Q695" s="9"/>
      <c r="R695" s="9"/>
      <c r="S695" s="9"/>
      <c r="T695" s="9"/>
      <c r="U695" s="9"/>
    </row>
    <row r="696" spans="2:21" ht="14" customHeight="1" x14ac:dyDescent="0.2">
      <c r="B696" t="s">
        <v>700</v>
      </c>
      <c r="C696" t="s">
        <v>703</v>
      </c>
      <c r="D696" t="s">
        <v>91</v>
      </c>
      <c r="F696" s="9"/>
      <c r="G696" s="10">
        <v>1</v>
      </c>
      <c r="H696" s="10">
        <v>1</v>
      </c>
      <c r="I696" s="10">
        <v>0</v>
      </c>
      <c r="J696" s="9"/>
      <c r="K696" s="9">
        <v>30</v>
      </c>
      <c r="L696" s="1">
        <v>0</v>
      </c>
      <c r="M696" s="1">
        <f t="shared" si="27"/>
        <v>30</v>
      </c>
      <c r="N696" s="11">
        <f t="shared" si="28"/>
        <v>30</v>
      </c>
      <c r="O696" s="9"/>
      <c r="P696" s="9"/>
      <c r="Q696" s="9"/>
      <c r="R696" s="9"/>
      <c r="S696" s="9"/>
      <c r="T696" s="9"/>
      <c r="U696" s="9"/>
    </row>
    <row r="697" spans="2:21" ht="14" customHeight="1" x14ac:dyDescent="0.2">
      <c r="B697" t="s">
        <v>704</v>
      </c>
      <c r="C697" t="s">
        <v>705</v>
      </c>
      <c r="D697" t="s">
        <v>17</v>
      </c>
      <c r="F697" s="9"/>
      <c r="G697" s="10">
        <v>1</v>
      </c>
      <c r="H697" s="10">
        <v>1</v>
      </c>
      <c r="I697" s="10">
        <v>0</v>
      </c>
      <c r="J697" s="9"/>
      <c r="K697" s="9">
        <v>10</v>
      </c>
      <c r="L697" s="1">
        <v>0</v>
      </c>
      <c r="M697" s="1">
        <f t="shared" ref="M697:M760" si="29">K697+L697</f>
        <v>10</v>
      </c>
      <c r="N697" s="11">
        <f t="shared" si="28"/>
        <v>10</v>
      </c>
      <c r="O697" s="9"/>
      <c r="P697" s="9"/>
      <c r="Q697" s="9"/>
      <c r="R697" s="9"/>
      <c r="S697" s="9"/>
      <c r="T697" s="9"/>
      <c r="U697" s="9"/>
    </row>
    <row r="698" spans="2:21" ht="14" customHeight="1" x14ac:dyDescent="0.2">
      <c r="B698" t="s">
        <v>706</v>
      </c>
      <c r="C698" t="s">
        <v>705</v>
      </c>
      <c r="D698" t="s">
        <v>91</v>
      </c>
      <c r="F698" s="9"/>
      <c r="G698" s="10">
        <v>1</v>
      </c>
      <c r="H698" s="10">
        <v>1</v>
      </c>
      <c r="I698" s="10">
        <v>0</v>
      </c>
      <c r="J698" s="9"/>
      <c r="K698" s="9">
        <v>10</v>
      </c>
      <c r="L698" s="1">
        <v>0</v>
      </c>
      <c r="M698" s="1">
        <f t="shared" si="29"/>
        <v>10</v>
      </c>
      <c r="N698" s="11">
        <f t="shared" si="28"/>
        <v>10</v>
      </c>
      <c r="O698" s="9"/>
      <c r="P698" s="9"/>
      <c r="Q698" s="9"/>
      <c r="R698" s="9"/>
      <c r="S698" s="9"/>
      <c r="T698" s="9"/>
      <c r="U698" s="9"/>
    </row>
    <row r="699" spans="2:21" ht="14" customHeight="1" x14ac:dyDescent="0.2">
      <c r="B699" t="s">
        <v>93</v>
      </c>
      <c r="C699" t="s">
        <v>707</v>
      </c>
      <c r="D699" t="s">
        <v>34</v>
      </c>
      <c r="F699" s="9"/>
      <c r="G699" s="10">
        <v>2</v>
      </c>
      <c r="H699" s="10">
        <v>2</v>
      </c>
      <c r="I699" s="10">
        <v>0</v>
      </c>
      <c r="J699" s="9"/>
      <c r="K699" s="9">
        <v>10</v>
      </c>
      <c r="L699" s="1">
        <v>0</v>
      </c>
      <c r="M699" s="1">
        <f t="shared" si="29"/>
        <v>10</v>
      </c>
      <c r="N699" s="11">
        <f t="shared" si="28"/>
        <v>20</v>
      </c>
      <c r="O699" s="9"/>
      <c r="P699" s="9"/>
      <c r="Q699" s="9"/>
      <c r="R699" s="9"/>
      <c r="S699" s="9"/>
      <c r="T699" s="9"/>
      <c r="U699" s="9"/>
    </row>
    <row r="700" spans="2:21" x14ac:dyDescent="0.2">
      <c r="B700" t="s">
        <v>96</v>
      </c>
      <c r="C700" t="s">
        <v>708</v>
      </c>
      <c r="D700" t="s">
        <v>97</v>
      </c>
      <c r="F700" s="9"/>
      <c r="G700" s="10">
        <v>1</v>
      </c>
      <c r="H700" s="10">
        <v>1</v>
      </c>
      <c r="I700" s="10">
        <v>0</v>
      </c>
      <c r="J700" s="9"/>
      <c r="K700" s="9">
        <v>10</v>
      </c>
      <c r="L700" s="1">
        <v>0</v>
      </c>
      <c r="M700" s="1">
        <f t="shared" si="29"/>
        <v>10</v>
      </c>
      <c r="N700" s="11">
        <f t="shared" si="28"/>
        <v>10</v>
      </c>
      <c r="O700" s="9"/>
      <c r="P700" s="9"/>
      <c r="Q700" s="9"/>
      <c r="R700" s="9"/>
      <c r="S700" s="9"/>
      <c r="T700" s="9"/>
      <c r="U700" s="9"/>
    </row>
    <row r="701" spans="2:21" x14ac:dyDescent="0.2">
      <c r="B701" t="s">
        <v>93</v>
      </c>
      <c r="C701" t="s">
        <v>709</v>
      </c>
      <c r="D701" t="s">
        <v>91</v>
      </c>
      <c r="F701" s="9"/>
      <c r="G701" s="10">
        <v>1</v>
      </c>
      <c r="H701" s="10">
        <v>1</v>
      </c>
      <c r="I701" s="10">
        <v>0</v>
      </c>
      <c r="J701" s="9"/>
      <c r="K701" s="9">
        <v>10</v>
      </c>
      <c r="L701" s="1">
        <v>0</v>
      </c>
      <c r="M701" s="1">
        <f t="shared" si="29"/>
        <v>10</v>
      </c>
      <c r="N701" s="11">
        <f t="shared" si="28"/>
        <v>10</v>
      </c>
      <c r="O701" s="9"/>
      <c r="P701" s="9"/>
      <c r="Q701" s="9"/>
      <c r="R701" s="9"/>
      <c r="S701" s="9"/>
      <c r="T701" s="9"/>
      <c r="U701" s="9"/>
    </row>
    <row r="702" spans="2:21" x14ac:dyDescent="0.2">
      <c r="B702" t="s">
        <v>96</v>
      </c>
      <c r="C702" t="s">
        <v>710</v>
      </c>
      <c r="D702" t="s">
        <v>97</v>
      </c>
      <c r="F702" s="9"/>
      <c r="G702" s="10">
        <v>1</v>
      </c>
      <c r="H702" s="10">
        <v>1</v>
      </c>
      <c r="I702" s="10">
        <v>0</v>
      </c>
      <c r="J702" s="9"/>
      <c r="K702" s="9">
        <v>10</v>
      </c>
      <c r="L702" s="1">
        <v>0</v>
      </c>
      <c r="M702" s="1">
        <f t="shared" si="29"/>
        <v>10</v>
      </c>
      <c r="N702" s="11">
        <f t="shared" si="28"/>
        <v>10</v>
      </c>
      <c r="O702" s="9"/>
      <c r="P702" s="9"/>
      <c r="Q702" s="9"/>
      <c r="R702" s="9"/>
      <c r="S702" s="9"/>
      <c r="T702" s="9"/>
      <c r="U702" s="9"/>
    </row>
    <row r="703" spans="2:21" x14ac:dyDescent="0.2">
      <c r="B703" t="s">
        <v>93</v>
      </c>
      <c r="C703" t="s">
        <v>711</v>
      </c>
      <c r="D703" t="s">
        <v>95</v>
      </c>
      <c r="F703" s="9"/>
      <c r="G703" s="10">
        <v>1</v>
      </c>
      <c r="H703" s="10">
        <v>1</v>
      </c>
      <c r="I703" s="10">
        <v>0</v>
      </c>
      <c r="J703" s="9"/>
      <c r="K703" s="9">
        <v>10</v>
      </c>
      <c r="L703" s="1">
        <v>0</v>
      </c>
      <c r="M703" s="1">
        <f t="shared" si="29"/>
        <v>10</v>
      </c>
      <c r="N703" s="11">
        <f t="shared" si="28"/>
        <v>10</v>
      </c>
      <c r="O703" s="9"/>
      <c r="P703" s="9"/>
      <c r="Q703" s="9"/>
      <c r="R703" s="9"/>
      <c r="S703" s="9"/>
      <c r="T703" s="9"/>
      <c r="U703" s="9"/>
    </row>
    <row r="704" spans="2:21" ht="14" customHeight="1" x14ac:dyDescent="0.2">
      <c r="B704" t="s">
        <v>712</v>
      </c>
      <c r="C704" t="s">
        <v>713</v>
      </c>
      <c r="D704" t="s">
        <v>17</v>
      </c>
      <c r="F704" s="9"/>
      <c r="G704" s="10">
        <v>1</v>
      </c>
      <c r="H704" s="10">
        <v>1</v>
      </c>
      <c r="I704" s="10">
        <v>0</v>
      </c>
      <c r="J704" s="9"/>
      <c r="K704" s="9">
        <v>10</v>
      </c>
      <c r="L704" s="1">
        <v>0</v>
      </c>
      <c r="M704" s="1">
        <f t="shared" si="29"/>
        <v>10</v>
      </c>
      <c r="N704" s="11">
        <f t="shared" si="28"/>
        <v>10</v>
      </c>
      <c r="O704" s="9"/>
      <c r="P704" s="9"/>
      <c r="Q704" s="9"/>
      <c r="R704" s="9"/>
      <c r="S704" s="9"/>
      <c r="T704" s="9"/>
      <c r="U704" s="9"/>
    </row>
    <row r="705" spans="2:21" x14ac:dyDescent="0.2">
      <c r="B705" t="s">
        <v>96</v>
      </c>
      <c r="C705" t="s">
        <v>714</v>
      </c>
      <c r="D705" t="s">
        <v>97</v>
      </c>
      <c r="F705" s="9"/>
      <c r="G705" s="10">
        <v>1</v>
      </c>
      <c r="H705" s="10">
        <v>1</v>
      </c>
      <c r="I705" s="10">
        <v>0</v>
      </c>
      <c r="J705" s="9"/>
      <c r="K705" s="9">
        <v>10</v>
      </c>
      <c r="L705" s="1">
        <v>0</v>
      </c>
      <c r="M705" s="1">
        <f t="shared" si="29"/>
        <v>10</v>
      </c>
      <c r="N705" s="11">
        <f t="shared" si="28"/>
        <v>10</v>
      </c>
      <c r="O705" s="9"/>
      <c r="P705" s="9"/>
      <c r="Q705" s="9"/>
      <c r="R705" s="9"/>
      <c r="S705" s="9"/>
      <c r="T705" s="9"/>
      <c r="U705" s="9"/>
    </row>
    <row r="706" spans="2:21" x14ac:dyDescent="0.2">
      <c r="B706" t="s">
        <v>712</v>
      </c>
      <c r="C706" t="s">
        <v>715</v>
      </c>
      <c r="D706" t="s">
        <v>716</v>
      </c>
      <c r="F706" s="9"/>
      <c r="G706" s="10">
        <v>1</v>
      </c>
      <c r="H706" s="10">
        <v>1</v>
      </c>
      <c r="I706" s="10">
        <v>0</v>
      </c>
      <c r="J706" s="9"/>
      <c r="K706" s="9">
        <v>10</v>
      </c>
      <c r="L706" s="1">
        <v>0</v>
      </c>
      <c r="M706" s="1">
        <f t="shared" si="29"/>
        <v>10</v>
      </c>
      <c r="N706" s="11">
        <f t="shared" si="28"/>
        <v>10</v>
      </c>
      <c r="O706" s="9"/>
      <c r="P706" s="9"/>
      <c r="Q706" s="9"/>
      <c r="R706" s="9"/>
      <c r="S706" s="9"/>
      <c r="T706" s="9"/>
      <c r="U706" s="9"/>
    </row>
    <row r="707" spans="2:21" x14ac:dyDescent="0.2">
      <c r="B707" t="s">
        <v>93</v>
      </c>
      <c r="C707" t="s">
        <v>717</v>
      </c>
      <c r="D707" t="s">
        <v>718</v>
      </c>
      <c r="F707" s="9"/>
      <c r="G707" s="10">
        <v>1</v>
      </c>
      <c r="H707" s="10">
        <v>1</v>
      </c>
      <c r="I707" s="10">
        <v>0</v>
      </c>
      <c r="J707" s="9"/>
      <c r="K707" s="9">
        <v>10</v>
      </c>
      <c r="L707" s="1">
        <v>0</v>
      </c>
      <c r="M707" s="1">
        <f t="shared" si="29"/>
        <v>10</v>
      </c>
      <c r="N707" s="11">
        <f t="shared" ref="N707:N770" si="30">G707*K707</f>
        <v>10</v>
      </c>
      <c r="O707" s="9"/>
      <c r="P707" s="9"/>
      <c r="Q707" s="9"/>
      <c r="R707" s="9"/>
      <c r="S707" s="9"/>
      <c r="T707" s="9"/>
      <c r="U707" s="9"/>
    </row>
    <row r="708" spans="2:21" x14ac:dyDescent="0.2">
      <c r="B708" t="s">
        <v>93</v>
      </c>
      <c r="C708" t="s">
        <v>719</v>
      </c>
      <c r="D708" t="s">
        <v>720</v>
      </c>
      <c r="F708" s="9"/>
      <c r="G708" s="10">
        <v>1</v>
      </c>
      <c r="H708" s="10">
        <v>1</v>
      </c>
      <c r="I708" s="10">
        <v>0</v>
      </c>
      <c r="J708" s="9"/>
      <c r="K708" s="9">
        <v>10</v>
      </c>
      <c r="L708" s="1">
        <v>0</v>
      </c>
      <c r="M708" s="1">
        <f t="shared" si="29"/>
        <v>10</v>
      </c>
      <c r="N708" s="11">
        <f t="shared" si="30"/>
        <v>10</v>
      </c>
      <c r="O708" s="9"/>
      <c r="P708" s="9"/>
      <c r="Q708" s="9"/>
      <c r="R708" s="9"/>
      <c r="S708" s="9"/>
      <c r="T708" s="9"/>
      <c r="U708" s="9"/>
    </row>
    <row r="709" spans="2:21" x14ac:dyDescent="0.2">
      <c r="B709" t="s">
        <v>93</v>
      </c>
      <c r="C709" t="s">
        <v>721</v>
      </c>
      <c r="D709" t="s">
        <v>720</v>
      </c>
      <c r="F709" s="9"/>
      <c r="G709" s="10">
        <v>1</v>
      </c>
      <c r="H709" s="10">
        <v>1</v>
      </c>
      <c r="I709" s="10">
        <v>0</v>
      </c>
      <c r="J709" s="9"/>
      <c r="K709" s="9">
        <v>10</v>
      </c>
      <c r="L709" s="1">
        <v>0</v>
      </c>
      <c r="M709" s="1">
        <f t="shared" si="29"/>
        <v>10</v>
      </c>
      <c r="N709" s="11">
        <f t="shared" si="30"/>
        <v>10</v>
      </c>
      <c r="O709" s="9"/>
      <c r="P709" s="9"/>
      <c r="Q709" s="9"/>
      <c r="R709" s="9"/>
      <c r="S709" s="9"/>
      <c r="T709" s="9"/>
      <c r="U709" s="9"/>
    </row>
    <row r="710" spans="2:21" x14ac:dyDescent="0.2">
      <c r="B710" t="s">
        <v>93</v>
      </c>
      <c r="C710" t="s">
        <v>722</v>
      </c>
      <c r="D710" t="s">
        <v>720</v>
      </c>
      <c r="F710" s="9"/>
      <c r="G710" s="10">
        <v>1</v>
      </c>
      <c r="H710" s="10">
        <v>1</v>
      </c>
      <c r="I710" s="10">
        <v>0</v>
      </c>
      <c r="J710" s="9"/>
      <c r="K710" s="9">
        <v>10</v>
      </c>
      <c r="L710" s="1">
        <v>0</v>
      </c>
      <c r="M710" s="1">
        <f t="shared" si="29"/>
        <v>10</v>
      </c>
      <c r="N710" s="11">
        <f t="shared" si="30"/>
        <v>10</v>
      </c>
      <c r="O710" s="9"/>
      <c r="P710" s="9"/>
      <c r="Q710" s="9"/>
      <c r="R710" s="9"/>
      <c r="S710" s="9"/>
      <c r="T710" s="9"/>
      <c r="U710" s="9"/>
    </row>
    <row r="711" spans="2:21" x14ac:dyDescent="0.2">
      <c r="B711" t="s">
        <v>93</v>
      </c>
      <c r="C711" t="s">
        <v>722</v>
      </c>
      <c r="D711" t="s">
        <v>718</v>
      </c>
      <c r="F711" s="9"/>
      <c r="G711" s="10">
        <v>1</v>
      </c>
      <c r="H711" s="10">
        <v>1</v>
      </c>
      <c r="I711" s="10">
        <v>0</v>
      </c>
      <c r="J711" s="9"/>
      <c r="K711" s="9">
        <v>10</v>
      </c>
      <c r="L711" s="1">
        <v>0</v>
      </c>
      <c r="M711" s="1">
        <f t="shared" si="29"/>
        <v>10</v>
      </c>
      <c r="N711" s="11">
        <f t="shared" si="30"/>
        <v>10</v>
      </c>
      <c r="O711" s="9"/>
      <c r="P711" s="9"/>
      <c r="Q711" s="9"/>
      <c r="R711" s="9"/>
      <c r="S711" s="9"/>
      <c r="T711" s="9"/>
      <c r="U711" s="9"/>
    </row>
    <row r="712" spans="2:21" x14ac:dyDescent="0.2">
      <c r="B712" t="s">
        <v>712</v>
      </c>
      <c r="C712" t="s">
        <v>722</v>
      </c>
      <c r="D712" t="s">
        <v>716</v>
      </c>
      <c r="F712" s="9"/>
      <c r="G712" s="10">
        <v>1</v>
      </c>
      <c r="H712" s="10">
        <v>1</v>
      </c>
      <c r="I712" s="10">
        <v>0</v>
      </c>
      <c r="J712" s="9"/>
      <c r="K712" s="9">
        <v>10</v>
      </c>
      <c r="L712" s="1">
        <v>0</v>
      </c>
      <c r="M712" s="1">
        <f t="shared" si="29"/>
        <v>10</v>
      </c>
      <c r="N712" s="11">
        <f t="shared" si="30"/>
        <v>10</v>
      </c>
      <c r="O712" s="9"/>
      <c r="P712" s="9"/>
      <c r="Q712" s="9"/>
      <c r="R712" s="9"/>
      <c r="S712" s="9"/>
      <c r="T712" s="9"/>
      <c r="U712" s="9"/>
    </row>
    <row r="713" spans="2:21" x14ac:dyDescent="0.2">
      <c r="B713" t="s">
        <v>90</v>
      </c>
      <c r="C713" t="s">
        <v>723</v>
      </c>
      <c r="D713" t="s">
        <v>236</v>
      </c>
      <c r="F713" s="9"/>
      <c r="G713" s="10">
        <v>1</v>
      </c>
      <c r="H713" s="10">
        <v>1</v>
      </c>
      <c r="I713" s="10">
        <v>0</v>
      </c>
      <c r="J713" s="9"/>
      <c r="K713" s="9">
        <v>10</v>
      </c>
      <c r="L713" s="1">
        <v>0</v>
      </c>
      <c r="M713" s="1">
        <f t="shared" si="29"/>
        <v>10</v>
      </c>
      <c r="N713" s="11">
        <f t="shared" si="30"/>
        <v>10</v>
      </c>
      <c r="O713" s="9"/>
      <c r="P713" s="9"/>
      <c r="Q713" s="9"/>
      <c r="R713" s="9"/>
      <c r="S713" s="9"/>
      <c r="T713" s="9"/>
      <c r="U713" s="9"/>
    </row>
    <row r="714" spans="2:21" x14ac:dyDescent="0.2">
      <c r="B714" t="s">
        <v>90</v>
      </c>
      <c r="C714" t="s">
        <v>724</v>
      </c>
      <c r="D714" t="s">
        <v>236</v>
      </c>
      <c r="F714" s="9"/>
      <c r="G714" s="10">
        <v>1</v>
      </c>
      <c r="H714" s="10">
        <v>1</v>
      </c>
      <c r="I714" s="10">
        <v>0</v>
      </c>
      <c r="J714" s="9"/>
      <c r="K714" s="9">
        <v>10</v>
      </c>
      <c r="L714" s="1">
        <v>0</v>
      </c>
      <c r="M714" s="1">
        <f t="shared" si="29"/>
        <v>10</v>
      </c>
      <c r="N714" s="11">
        <f t="shared" si="30"/>
        <v>10</v>
      </c>
      <c r="O714" s="9"/>
      <c r="P714" s="9"/>
      <c r="Q714" s="9"/>
      <c r="R714" s="9"/>
      <c r="S714" s="9"/>
      <c r="T714" s="9"/>
      <c r="U714" s="9"/>
    </row>
    <row r="715" spans="2:21" x14ac:dyDescent="0.2">
      <c r="B715" t="s">
        <v>725</v>
      </c>
      <c r="C715" t="s">
        <v>726</v>
      </c>
      <c r="D715" t="s">
        <v>261</v>
      </c>
      <c r="F715" s="9"/>
      <c r="G715" s="10">
        <v>1</v>
      </c>
      <c r="H715" s="10">
        <v>1</v>
      </c>
      <c r="I715" s="10">
        <v>0</v>
      </c>
      <c r="J715" s="9"/>
      <c r="K715" s="9">
        <v>10</v>
      </c>
      <c r="L715" s="1">
        <v>0</v>
      </c>
      <c r="M715" s="1">
        <f t="shared" si="29"/>
        <v>10</v>
      </c>
      <c r="N715" s="11">
        <f t="shared" si="30"/>
        <v>10</v>
      </c>
      <c r="O715" s="9"/>
      <c r="P715" s="9"/>
      <c r="Q715" s="9"/>
      <c r="R715" s="9"/>
      <c r="S715" s="9"/>
      <c r="T715" s="9"/>
      <c r="U715" s="9"/>
    </row>
    <row r="716" spans="2:21" x14ac:dyDescent="0.2">
      <c r="B716" t="s">
        <v>90</v>
      </c>
      <c r="C716" t="s">
        <v>726</v>
      </c>
      <c r="D716" t="s">
        <v>237</v>
      </c>
      <c r="F716" s="9"/>
      <c r="G716" s="10">
        <v>1</v>
      </c>
      <c r="H716" s="10">
        <v>1</v>
      </c>
      <c r="I716" s="10">
        <v>0</v>
      </c>
      <c r="J716" s="9"/>
      <c r="K716" s="9">
        <v>10</v>
      </c>
      <c r="L716" s="1">
        <v>0</v>
      </c>
      <c r="M716" s="1">
        <f t="shared" si="29"/>
        <v>10</v>
      </c>
      <c r="N716" s="11">
        <f t="shared" si="30"/>
        <v>10</v>
      </c>
      <c r="O716" s="9"/>
      <c r="P716" s="9"/>
      <c r="Q716" s="9"/>
      <c r="R716" s="9"/>
      <c r="S716" s="9"/>
      <c r="T716" s="9"/>
      <c r="U716" s="9"/>
    </row>
    <row r="717" spans="2:21" x14ac:dyDescent="0.2">
      <c r="B717" t="s">
        <v>725</v>
      </c>
      <c r="C717" t="s">
        <v>727</v>
      </c>
      <c r="D717" t="s">
        <v>261</v>
      </c>
      <c r="F717" s="9"/>
      <c r="G717" s="10">
        <v>1</v>
      </c>
      <c r="H717" s="10">
        <v>1</v>
      </c>
      <c r="I717" s="10">
        <v>0</v>
      </c>
      <c r="J717" s="9"/>
      <c r="K717" s="9">
        <v>10</v>
      </c>
      <c r="L717" s="1">
        <v>0</v>
      </c>
      <c r="M717" s="1">
        <f t="shared" si="29"/>
        <v>10</v>
      </c>
      <c r="N717" s="11">
        <f t="shared" si="30"/>
        <v>10</v>
      </c>
      <c r="O717" s="9"/>
      <c r="P717" s="9"/>
      <c r="Q717" s="9"/>
      <c r="R717" s="9"/>
      <c r="S717" s="9"/>
      <c r="T717" s="9"/>
      <c r="U717" s="9"/>
    </row>
    <row r="718" spans="2:21" x14ac:dyDescent="0.2">
      <c r="B718" t="s">
        <v>90</v>
      </c>
      <c r="C718" t="s">
        <v>727</v>
      </c>
      <c r="D718" t="s">
        <v>102</v>
      </c>
      <c r="F718" s="9"/>
      <c r="G718" s="10">
        <v>1</v>
      </c>
      <c r="H718" s="10">
        <v>1</v>
      </c>
      <c r="I718" s="10">
        <v>0</v>
      </c>
      <c r="J718" s="9"/>
      <c r="K718" s="9">
        <v>10</v>
      </c>
      <c r="L718" s="1">
        <v>0</v>
      </c>
      <c r="M718" s="1">
        <f t="shared" si="29"/>
        <v>10</v>
      </c>
      <c r="N718" s="11">
        <f t="shared" si="30"/>
        <v>10</v>
      </c>
      <c r="O718" s="9"/>
      <c r="P718" s="9"/>
      <c r="Q718" s="9"/>
      <c r="R718" s="9"/>
      <c r="S718" s="9"/>
      <c r="T718" s="9"/>
      <c r="U718" s="9"/>
    </row>
    <row r="719" spans="2:21" x14ac:dyDescent="0.2">
      <c r="B719" t="s">
        <v>725</v>
      </c>
      <c r="C719" t="s">
        <v>728</v>
      </c>
      <c r="D719" t="s">
        <v>97</v>
      </c>
      <c r="F719" s="9"/>
      <c r="G719" s="10">
        <v>1</v>
      </c>
      <c r="H719" s="10">
        <v>1</v>
      </c>
      <c r="I719" s="10">
        <v>0</v>
      </c>
      <c r="J719" s="9"/>
      <c r="K719" s="9">
        <v>10</v>
      </c>
      <c r="L719" s="1">
        <v>0</v>
      </c>
      <c r="M719" s="1">
        <f t="shared" si="29"/>
        <v>10</v>
      </c>
      <c r="N719" s="11">
        <f t="shared" si="30"/>
        <v>10</v>
      </c>
      <c r="O719" s="9"/>
      <c r="P719" s="9"/>
      <c r="Q719" s="9"/>
      <c r="R719" s="9"/>
      <c r="S719" s="9"/>
      <c r="T719" s="9"/>
      <c r="U719" s="9"/>
    </row>
    <row r="720" spans="2:21" x14ac:dyDescent="0.2">
      <c r="B720" t="s">
        <v>725</v>
      </c>
      <c r="C720" t="s">
        <v>729</v>
      </c>
      <c r="D720" t="s">
        <v>257</v>
      </c>
      <c r="F720" s="9"/>
      <c r="G720" s="10">
        <v>1</v>
      </c>
      <c r="H720" s="10">
        <v>1</v>
      </c>
      <c r="I720" s="10">
        <v>0</v>
      </c>
      <c r="J720" s="9"/>
      <c r="K720" s="9">
        <v>10</v>
      </c>
      <c r="L720" s="1">
        <v>0</v>
      </c>
      <c r="M720" s="1">
        <f t="shared" si="29"/>
        <v>10</v>
      </c>
      <c r="N720" s="11">
        <f t="shared" si="30"/>
        <v>10</v>
      </c>
      <c r="O720" s="9"/>
      <c r="P720" s="9"/>
      <c r="Q720" s="9"/>
      <c r="R720" s="9"/>
      <c r="S720" s="9"/>
      <c r="T720" s="9"/>
      <c r="U720" s="9"/>
    </row>
    <row r="721" spans="2:21" x14ac:dyDescent="0.2">
      <c r="B721" t="s">
        <v>90</v>
      </c>
      <c r="C721" t="s">
        <v>730</v>
      </c>
      <c r="D721" t="s">
        <v>102</v>
      </c>
      <c r="F721" s="9"/>
      <c r="G721" s="10">
        <v>1</v>
      </c>
      <c r="H721" s="10">
        <v>1</v>
      </c>
      <c r="I721" s="10">
        <v>0</v>
      </c>
      <c r="J721" s="9"/>
      <c r="K721" s="9">
        <v>10</v>
      </c>
      <c r="L721" s="1">
        <v>0</v>
      </c>
      <c r="M721" s="1">
        <f t="shared" si="29"/>
        <v>10</v>
      </c>
      <c r="N721" s="11">
        <f t="shared" si="30"/>
        <v>10</v>
      </c>
      <c r="O721" s="9"/>
      <c r="P721" s="9"/>
      <c r="Q721" s="9"/>
      <c r="R721" s="9"/>
      <c r="S721" s="9"/>
      <c r="T721" s="9"/>
      <c r="U721" s="9"/>
    </row>
    <row r="722" spans="2:21" x14ac:dyDescent="0.2">
      <c r="B722" t="s">
        <v>126</v>
      </c>
      <c r="C722" t="s">
        <v>731</v>
      </c>
      <c r="D722" t="s">
        <v>384</v>
      </c>
      <c r="F722" s="9"/>
      <c r="G722" s="10">
        <v>2</v>
      </c>
      <c r="H722" s="10">
        <v>2</v>
      </c>
      <c r="I722" s="10">
        <v>0</v>
      </c>
      <c r="J722" s="9"/>
      <c r="K722" s="9">
        <v>10</v>
      </c>
      <c r="L722" s="1">
        <v>0</v>
      </c>
      <c r="M722" s="1">
        <f t="shared" si="29"/>
        <v>10</v>
      </c>
      <c r="N722" s="11">
        <f t="shared" si="30"/>
        <v>20</v>
      </c>
      <c r="O722" s="9"/>
      <c r="P722" s="9"/>
      <c r="Q722" s="9"/>
      <c r="R722" s="9"/>
      <c r="S722" s="9"/>
      <c r="T722" s="9"/>
      <c r="U722" s="9"/>
    </row>
    <row r="723" spans="2:21" x14ac:dyDescent="0.2">
      <c r="B723" t="s">
        <v>126</v>
      </c>
      <c r="C723" t="s">
        <v>732</v>
      </c>
      <c r="D723" t="s">
        <v>385</v>
      </c>
      <c r="F723" s="9"/>
      <c r="G723" s="10">
        <v>1</v>
      </c>
      <c r="H723" s="10">
        <v>1</v>
      </c>
      <c r="I723" s="10">
        <v>0</v>
      </c>
      <c r="J723" s="9"/>
      <c r="K723" s="9">
        <v>40</v>
      </c>
      <c r="L723" s="1">
        <v>0</v>
      </c>
      <c r="M723" s="1">
        <f t="shared" si="29"/>
        <v>40</v>
      </c>
      <c r="N723" s="11">
        <f t="shared" si="30"/>
        <v>40</v>
      </c>
      <c r="O723" s="9"/>
      <c r="P723" s="9"/>
      <c r="Q723" s="9"/>
      <c r="R723" s="9"/>
      <c r="S723" s="9"/>
      <c r="T723" s="9"/>
      <c r="U723" s="9"/>
    </row>
    <row r="724" spans="2:21" x14ac:dyDescent="0.2">
      <c r="B724" t="s">
        <v>84</v>
      </c>
      <c r="C724" t="s">
        <v>733</v>
      </c>
      <c r="D724" t="s">
        <v>734</v>
      </c>
      <c r="F724" s="9"/>
      <c r="G724" s="10">
        <v>3</v>
      </c>
      <c r="H724" s="10">
        <v>3</v>
      </c>
      <c r="I724" s="10">
        <v>0</v>
      </c>
      <c r="J724" s="9"/>
      <c r="K724" s="9">
        <v>35</v>
      </c>
      <c r="L724" s="1">
        <v>0</v>
      </c>
      <c r="M724" s="1">
        <f t="shared" si="29"/>
        <v>35</v>
      </c>
      <c r="N724" s="11">
        <f t="shared" si="30"/>
        <v>105</v>
      </c>
      <c r="O724" s="9"/>
      <c r="P724" s="9"/>
      <c r="Q724" s="9"/>
      <c r="R724" s="9"/>
      <c r="S724" s="9"/>
      <c r="T724" s="9"/>
      <c r="U724" s="9"/>
    </row>
    <row r="725" spans="2:21" x14ac:dyDescent="0.2">
      <c r="B725" t="s">
        <v>84</v>
      </c>
      <c r="C725" t="s">
        <v>735</v>
      </c>
      <c r="D725" t="s">
        <v>734</v>
      </c>
      <c r="F725" s="9"/>
      <c r="G725" s="10">
        <v>2</v>
      </c>
      <c r="H725" s="10">
        <v>2</v>
      </c>
      <c r="I725" s="10">
        <v>0</v>
      </c>
      <c r="J725" s="9"/>
      <c r="K725" s="9">
        <v>35</v>
      </c>
      <c r="L725" s="1">
        <v>0</v>
      </c>
      <c r="M725" s="1">
        <f t="shared" si="29"/>
        <v>35</v>
      </c>
      <c r="N725" s="11">
        <f t="shared" si="30"/>
        <v>70</v>
      </c>
      <c r="O725" s="9"/>
      <c r="P725" s="9"/>
      <c r="Q725" s="9"/>
      <c r="R725" s="9"/>
      <c r="S725" s="9"/>
      <c r="T725" s="9"/>
      <c r="U725" s="9"/>
    </row>
    <row r="726" spans="2:21" x14ac:dyDescent="0.2">
      <c r="B726" t="s">
        <v>84</v>
      </c>
      <c r="C726" t="s">
        <v>736</v>
      </c>
      <c r="D726" t="s">
        <v>734</v>
      </c>
      <c r="F726" s="9"/>
      <c r="G726" s="10">
        <v>1</v>
      </c>
      <c r="H726" s="10">
        <v>1</v>
      </c>
      <c r="I726" s="10">
        <v>0</v>
      </c>
      <c r="J726" s="9"/>
      <c r="K726" s="9">
        <v>35</v>
      </c>
      <c r="L726" s="1">
        <v>0</v>
      </c>
      <c r="M726" s="1">
        <f t="shared" si="29"/>
        <v>35</v>
      </c>
      <c r="N726" s="11">
        <f t="shared" si="30"/>
        <v>35</v>
      </c>
      <c r="O726" s="9"/>
      <c r="P726" s="9"/>
      <c r="Q726" s="9"/>
      <c r="R726" s="9"/>
      <c r="S726" s="9"/>
      <c r="T726" s="9"/>
      <c r="U726" s="9"/>
    </row>
    <row r="727" spans="2:21" x14ac:dyDescent="0.2">
      <c r="B727" t="s">
        <v>84</v>
      </c>
      <c r="C727" t="s">
        <v>737</v>
      </c>
      <c r="D727" t="s">
        <v>734</v>
      </c>
      <c r="F727" s="9"/>
      <c r="G727" s="10">
        <v>1</v>
      </c>
      <c r="H727" s="10">
        <v>1</v>
      </c>
      <c r="I727" s="10">
        <v>0</v>
      </c>
      <c r="J727" s="9"/>
      <c r="K727" s="9">
        <v>35</v>
      </c>
      <c r="L727" s="1">
        <v>0</v>
      </c>
      <c r="M727" s="1">
        <f t="shared" si="29"/>
        <v>35</v>
      </c>
      <c r="N727" s="11">
        <f t="shared" si="30"/>
        <v>35</v>
      </c>
      <c r="O727" s="9"/>
      <c r="P727" s="9"/>
      <c r="Q727" s="9"/>
      <c r="R727" s="9"/>
      <c r="S727" s="9"/>
      <c r="T727" s="9"/>
      <c r="U727" s="9"/>
    </row>
    <row r="728" spans="2:21" x14ac:dyDescent="0.2">
      <c r="B728" t="s">
        <v>84</v>
      </c>
      <c r="C728" t="s">
        <v>738</v>
      </c>
      <c r="D728" t="s">
        <v>734</v>
      </c>
      <c r="F728" s="9"/>
      <c r="G728" s="10">
        <v>1</v>
      </c>
      <c r="H728" s="10">
        <v>1</v>
      </c>
      <c r="I728" s="10">
        <v>0</v>
      </c>
      <c r="J728" s="9"/>
      <c r="K728" s="9">
        <v>35</v>
      </c>
      <c r="L728" s="1">
        <v>0</v>
      </c>
      <c r="M728" s="1">
        <f t="shared" si="29"/>
        <v>35</v>
      </c>
      <c r="N728" s="11">
        <f t="shared" si="30"/>
        <v>35</v>
      </c>
      <c r="O728" s="9"/>
      <c r="P728" s="9"/>
      <c r="Q728" s="9"/>
      <c r="R728" s="9"/>
      <c r="S728" s="9"/>
      <c r="T728" s="9"/>
      <c r="U728" s="9"/>
    </row>
    <row r="729" spans="2:21" x14ac:dyDescent="0.2">
      <c r="B729" t="s">
        <v>84</v>
      </c>
      <c r="C729" t="s">
        <v>739</v>
      </c>
      <c r="D729" t="s">
        <v>734</v>
      </c>
      <c r="F729" s="9"/>
      <c r="G729" s="10">
        <v>2</v>
      </c>
      <c r="H729" s="10">
        <v>2</v>
      </c>
      <c r="I729" s="10">
        <v>0</v>
      </c>
      <c r="J729" s="9"/>
      <c r="K729" s="9">
        <v>25</v>
      </c>
      <c r="L729" s="1">
        <v>0</v>
      </c>
      <c r="M729" s="1">
        <f t="shared" si="29"/>
        <v>25</v>
      </c>
      <c r="N729" s="11">
        <f t="shared" si="30"/>
        <v>50</v>
      </c>
      <c r="O729" s="9"/>
      <c r="P729" s="9"/>
      <c r="Q729" s="9"/>
      <c r="R729" s="9"/>
      <c r="S729" s="9"/>
      <c r="T729" s="9"/>
      <c r="U729" s="9"/>
    </row>
    <row r="730" spans="2:21" x14ac:dyDescent="0.2">
      <c r="B730" t="s">
        <v>282</v>
      </c>
      <c r="C730" t="s">
        <v>740</v>
      </c>
      <c r="D730" t="s">
        <v>97</v>
      </c>
      <c r="F730" s="9"/>
      <c r="G730" s="10">
        <v>2</v>
      </c>
      <c r="H730" s="10">
        <v>2</v>
      </c>
      <c r="I730" s="10">
        <v>0</v>
      </c>
      <c r="J730" s="9"/>
      <c r="K730" s="9">
        <v>10</v>
      </c>
      <c r="L730" s="1">
        <v>0</v>
      </c>
      <c r="M730" s="1">
        <f t="shared" si="29"/>
        <v>10</v>
      </c>
      <c r="N730" s="11">
        <f t="shared" si="30"/>
        <v>20</v>
      </c>
      <c r="O730" s="9"/>
      <c r="P730" s="9"/>
      <c r="Q730" s="9"/>
      <c r="R730" s="9"/>
      <c r="S730" s="9"/>
      <c r="T730" s="9"/>
      <c r="U730" s="9"/>
    </row>
    <row r="731" spans="2:21" x14ac:dyDescent="0.2">
      <c r="B731" t="s">
        <v>285</v>
      </c>
      <c r="C731" t="s">
        <v>741</v>
      </c>
      <c r="D731" t="s">
        <v>91</v>
      </c>
      <c r="F731" s="9"/>
      <c r="G731" s="10">
        <v>1</v>
      </c>
      <c r="H731" s="10">
        <v>1</v>
      </c>
      <c r="I731" s="10">
        <v>0</v>
      </c>
      <c r="J731" s="9"/>
      <c r="K731" s="9">
        <v>10</v>
      </c>
      <c r="L731" s="1">
        <v>0</v>
      </c>
      <c r="M731" s="1">
        <f t="shared" si="29"/>
        <v>10</v>
      </c>
      <c r="N731" s="11">
        <f t="shared" si="30"/>
        <v>10</v>
      </c>
      <c r="O731" s="9"/>
      <c r="P731" s="9"/>
      <c r="Q731" s="9"/>
      <c r="R731" s="9"/>
      <c r="S731" s="9"/>
      <c r="T731" s="9"/>
      <c r="U731" s="9"/>
    </row>
    <row r="732" spans="2:21" x14ac:dyDescent="0.2">
      <c r="B732" t="s">
        <v>285</v>
      </c>
      <c r="C732" t="s">
        <v>742</v>
      </c>
      <c r="D732" t="s">
        <v>95</v>
      </c>
      <c r="F732" s="9"/>
      <c r="G732" s="10">
        <v>2</v>
      </c>
      <c r="H732" s="10">
        <v>2</v>
      </c>
      <c r="I732" s="10">
        <v>0</v>
      </c>
      <c r="J732" s="9"/>
      <c r="K732" s="9">
        <v>10</v>
      </c>
      <c r="L732" s="1">
        <v>0</v>
      </c>
      <c r="M732" s="1">
        <f t="shared" si="29"/>
        <v>10</v>
      </c>
      <c r="N732" s="11">
        <f t="shared" si="30"/>
        <v>20</v>
      </c>
      <c r="O732" s="9"/>
      <c r="P732" s="9"/>
      <c r="Q732" s="9"/>
      <c r="R732" s="9"/>
      <c r="S732" s="9"/>
      <c r="T732" s="9"/>
      <c r="U732" s="9"/>
    </row>
    <row r="733" spans="2:21" x14ac:dyDescent="0.2">
      <c r="B733" t="s">
        <v>282</v>
      </c>
      <c r="C733" t="s">
        <v>743</v>
      </c>
      <c r="D733" t="s">
        <v>97</v>
      </c>
      <c r="F733" s="9"/>
      <c r="G733" s="10">
        <v>1</v>
      </c>
      <c r="H733" s="10">
        <v>1</v>
      </c>
      <c r="I733" s="10">
        <v>0</v>
      </c>
      <c r="J733" s="9"/>
      <c r="K733" s="9">
        <v>10</v>
      </c>
      <c r="L733" s="1">
        <v>0</v>
      </c>
      <c r="M733" s="1">
        <f t="shared" si="29"/>
        <v>10</v>
      </c>
      <c r="N733" s="11">
        <f t="shared" si="30"/>
        <v>10</v>
      </c>
      <c r="O733" s="9"/>
      <c r="P733" s="9"/>
      <c r="Q733" s="9"/>
      <c r="R733" s="9"/>
      <c r="S733" s="9"/>
      <c r="T733" s="9"/>
      <c r="U733" s="9"/>
    </row>
    <row r="734" spans="2:21" x14ac:dyDescent="0.2">
      <c r="B734" t="s">
        <v>282</v>
      </c>
      <c r="C734" t="s">
        <v>744</v>
      </c>
      <c r="D734" t="s">
        <v>97</v>
      </c>
      <c r="F734" s="9"/>
      <c r="G734" s="10">
        <v>1</v>
      </c>
      <c r="H734" s="10">
        <v>1</v>
      </c>
      <c r="I734" s="10">
        <v>0</v>
      </c>
      <c r="J734" s="9"/>
      <c r="K734" s="9">
        <v>10</v>
      </c>
      <c r="L734" s="1">
        <v>0</v>
      </c>
      <c r="M734" s="1">
        <f t="shared" si="29"/>
        <v>10</v>
      </c>
      <c r="N734" s="11">
        <f t="shared" si="30"/>
        <v>10</v>
      </c>
      <c r="O734" s="9"/>
      <c r="P734" s="9"/>
      <c r="Q734" s="9"/>
      <c r="R734" s="9"/>
      <c r="S734" s="9"/>
      <c r="T734" s="9"/>
      <c r="U734" s="9"/>
    </row>
    <row r="735" spans="2:21" x14ac:dyDescent="0.2">
      <c r="B735" t="s">
        <v>285</v>
      </c>
      <c r="C735" t="s">
        <v>745</v>
      </c>
      <c r="D735" t="s">
        <v>91</v>
      </c>
      <c r="F735" s="9"/>
      <c r="G735" s="10">
        <v>2</v>
      </c>
      <c r="H735" s="10">
        <v>2</v>
      </c>
      <c r="I735" s="10">
        <v>0</v>
      </c>
      <c r="J735" s="9"/>
      <c r="K735" s="9">
        <v>10</v>
      </c>
      <c r="L735" s="1">
        <v>0</v>
      </c>
      <c r="M735" s="1">
        <f t="shared" si="29"/>
        <v>10</v>
      </c>
      <c r="N735" s="11">
        <f t="shared" si="30"/>
        <v>20</v>
      </c>
      <c r="O735" s="9"/>
      <c r="P735" s="9"/>
      <c r="Q735" s="9"/>
      <c r="R735" s="9"/>
      <c r="S735" s="9"/>
      <c r="T735" s="9"/>
      <c r="U735" s="9"/>
    </row>
    <row r="736" spans="2:21" x14ac:dyDescent="0.2">
      <c r="B736" t="s">
        <v>285</v>
      </c>
      <c r="C736" t="s">
        <v>746</v>
      </c>
      <c r="D736" t="s">
        <v>91</v>
      </c>
      <c r="F736" s="9"/>
      <c r="G736" s="10">
        <v>1</v>
      </c>
      <c r="H736" s="10">
        <v>1</v>
      </c>
      <c r="I736" s="10">
        <v>0</v>
      </c>
      <c r="J736" s="9"/>
      <c r="K736" s="9">
        <v>10</v>
      </c>
      <c r="L736" s="1">
        <v>0</v>
      </c>
      <c r="M736" s="1">
        <f t="shared" si="29"/>
        <v>10</v>
      </c>
      <c r="N736" s="11">
        <f t="shared" si="30"/>
        <v>10</v>
      </c>
      <c r="O736" s="9"/>
      <c r="P736" s="9"/>
      <c r="Q736" s="9"/>
      <c r="R736" s="9"/>
      <c r="S736" s="9"/>
      <c r="T736" s="9"/>
      <c r="U736" s="9"/>
    </row>
    <row r="737" spans="2:21" x14ac:dyDescent="0.2">
      <c r="B737" t="s">
        <v>285</v>
      </c>
      <c r="C737" t="s">
        <v>747</v>
      </c>
      <c r="D737" t="s">
        <v>91</v>
      </c>
      <c r="F737" s="9"/>
      <c r="G737" s="10">
        <v>1</v>
      </c>
      <c r="H737" s="10">
        <v>1</v>
      </c>
      <c r="I737" s="10">
        <v>0</v>
      </c>
      <c r="J737" s="9"/>
      <c r="K737" s="9">
        <v>10</v>
      </c>
      <c r="L737" s="1">
        <v>0</v>
      </c>
      <c r="M737" s="1">
        <f t="shared" si="29"/>
        <v>10</v>
      </c>
      <c r="N737" s="11">
        <f t="shared" si="30"/>
        <v>10</v>
      </c>
      <c r="O737" s="9"/>
      <c r="P737" s="9"/>
      <c r="Q737" s="9"/>
      <c r="R737" s="9"/>
      <c r="S737" s="9"/>
      <c r="T737" s="9"/>
      <c r="U737" s="9"/>
    </row>
    <row r="738" spans="2:21" x14ac:dyDescent="0.2">
      <c r="B738" t="s">
        <v>285</v>
      </c>
      <c r="C738" t="s">
        <v>748</v>
      </c>
      <c r="D738" t="s">
        <v>95</v>
      </c>
      <c r="F738" s="9"/>
      <c r="G738" s="10">
        <v>1</v>
      </c>
      <c r="H738" s="10">
        <v>1</v>
      </c>
      <c r="I738" s="10">
        <v>0</v>
      </c>
      <c r="J738" s="9"/>
      <c r="K738" s="9">
        <v>10</v>
      </c>
      <c r="L738" s="1">
        <v>0</v>
      </c>
      <c r="M738" s="1">
        <f t="shared" si="29"/>
        <v>10</v>
      </c>
      <c r="N738" s="11">
        <f t="shared" si="30"/>
        <v>10</v>
      </c>
      <c r="O738" s="9"/>
      <c r="P738" s="9"/>
      <c r="Q738" s="9"/>
      <c r="R738" s="9"/>
      <c r="S738" s="9"/>
      <c r="T738" s="9"/>
      <c r="U738" s="9"/>
    </row>
    <row r="739" spans="2:21" x14ac:dyDescent="0.2">
      <c r="B739" t="s">
        <v>285</v>
      </c>
      <c r="C739" t="s">
        <v>749</v>
      </c>
      <c r="D739" t="s">
        <v>95</v>
      </c>
      <c r="F739" s="9"/>
      <c r="G739" s="10">
        <v>1</v>
      </c>
      <c r="H739" s="10">
        <v>1</v>
      </c>
      <c r="I739" s="10">
        <v>0</v>
      </c>
      <c r="J739" s="9"/>
      <c r="K739" s="9">
        <v>10</v>
      </c>
      <c r="L739" s="1">
        <v>0</v>
      </c>
      <c r="M739" s="1">
        <f t="shared" si="29"/>
        <v>10</v>
      </c>
      <c r="N739" s="11">
        <f t="shared" si="30"/>
        <v>10</v>
      </c>
      <c r="O739" s="9"/>
      <c r="P739" s="9"/>
      <c r="Q739" s="9"/>
      <c r="R739" s="9"/>
      <c r="S739" s="9"/>
      <c r="T739" s="9"/>
      <c r="U739" s="9"/>
    </row>
    <row r="740" spans="2:21" x14ac:dyDescent="0.2">
      <c r="B740" t="s">
        <v>285</v>
      </c>
      <c r="C740" t="s">
        <v>750</v>
      </c>
      <c r="D740" t="s">
        <v>95</v>
      </c>
      <c r="F740" s="9"/>
      <c r="G740" s="10">
        <v>1</v>
      </c>
      <c r="H740" s="10">
        <v>1</v>
      </c>
      <c r="I740" s="10">
        <v>0</v>
      </c>
      <c r="J740" s="9"/>
      <c r="K740" s="9">
        <v>10</v>
      </c>
      <c r="L740" s="1">
        <v>0</v>
      </c>
      <c r="M740" s="1">
        <f t="shared" si="29"/>
        <v>10</v>
      </c>
      <c r="N740" s="11">
        <f t="shared" si="30"/>
        <v>10</v>
      </c>
      <c r="O740" s="9"/>
      <c r="P740" s="9"/>
      <c r="Q740" s="9"/>
      <c r="R740" s="9"/>
      <c r="S740" s="9"/>
      <c r="T740" s="9"/>
      <c r="U740" s="9"/>
    </row>
    <row r="741" spans="2:21" x14ac:dyDescent="0.2">
      <c r="B741" t="s">
        <v>285</v>
      </c>
      <c r="C741" t="s">
        <v>751</v>
      </c>
      <c r="D741" t="s">
        <v>95</v>
      </c>
      <c r="F741" s="9"/>
      <c r="G741" s="10">
        <v>1</v>
      </c>
      <c r="H741" s="10">
        <v>1</v>
      </c>
      <c r="I741" s="10">
        <v>0</v>
      </c>
      <c r="J741" s="9"/>
      <c r="K741" s="9">
        <v>10</v>
      </c>
      <c r="L741" s="1">
        <v>0</v>
      </c>
      <c r="M741" s="1">
        <f t="shared" si="29"/>
        <v>10</v>
      </c>
      <c r="N741" s="11">
        <f t="shared" si="30"/>
        <v>10</v>
      </c>
      <c r="O741" s="9"/>
      <c r="P741" s="9"/>
      <c r="Q741" s="9"/>
      <c r="R741" s="9"/>
      <c r="S741" s="9"/>
      <c r="T741" s="9"/>
      <c r="U741" s="9"/>
    </row>
    <row r="742" spans="2:21" x14ac:dyDescent="0.2">
      <c r="B742" t="s">
        <v>285</v>
      </c>
      <c r="C742" t="s">
        <v>752</v>
      </c>
      <c r="D742" t="s">
        <v>95</v>
      </c>
      <c r="F742" s="9"/>
      <c r="G742" s="10">
        <v>1</v>
      </c>
      <c r="H742" s="10">
        <v>1</v>
      </c>
      <c r="I742" s="10">
        <v>0</v>
      </c>
      <c r="J742" s="9"/>
      <c r="K742" s="9">
        <v>10</v>
      </c>
      <c r="L742" s="1">
        <v>0</v>
      </c>
      <c r="M742" s="1">
        <f t="shared" si="29"/>
        <v>10</v>
      </c>
      <c r="N742" s="11">
        <f t="shared" si="30"/>
        <v>10</v>
      </c>
      <c r="O742" s="9"/>
      <c r="P742" s="9"/>
      <c r="Q742" s="9"/>
      <c r="R742" s="9"/>
      <c r="S742" s="9"/>
      <c r="T742" s="9"/>
      <c r="U742" s="9"/>
    </row>
    <row r="743" spans="2:21" x14ac:dyDescent="0.2">
      <c r="B743" t="s">
        <v>285</v>
      </c>
      <c r="C743" t="s">
        <v>438</v>
      </c>
      <c r="D743" t="s">
        <v>91</v>
      </c>
      <c r="F743" s="9"/>
      <c r="G743" s="10">
        <v>1</v>
      </c>
      <c r="H743" s="10">
        <v>1</v>
      </c>
      <c r="I743" s="10">
        <v>0</v>
      </c>
      <c r="J743" s="9"/>
      <c r="K743" s="9">
        <v>10</v>
      </c>
      <c r="L743" s="1">
        <v>0</v>
      </c>
      <c r="M743" s="1">
        <f t="shared" si="29"/>
        <v>10</v>
      </c>
      <c r="N743" s="11">
        <f t="shared" si="30"/>
        <v>10</v>
      </c>
      <c r="O743" s="9"/>
      <c r="P743" s="9"/>
      <c r="Q743" s="9"/>
      <c r="R743" s="9"/>
      <c r="S743" s="9"/>
      <c r="T743" s="9"/>
      <c r="U743" s="9"/>
    </row>
    <row r="744" spans="2:21" x14ac:dyDescent="0.2">
      <c r="B744" t="s">
        <v>285</v>
      </c>
      <c r="C744" t="s">
        <v>753</v>
      </c>
      <c r="D744" t="s">
        <v>91</v>
      </c>
      <c r="F744" s="9"/>
      <c r="G744" s="10">
        <v>1</v>
      </c>
      <c r="H744" s="10">
        <v>1</v>
      </c>
      <c r="I744" s="10">
        <v>0</v>
      </c>
      <c r="J744" s="9"/>
      <c r="K744" s="9">
        <v>10</v>
      </c>
      <c r="L744" s="1">
        <v>0</v>
      </c>
      <c r="M744" s="1">
        <f t="shared" si="29"/>
        <v>10</v>
      </c>
      <c r="N744" s="11">
        <f t="shared" si="30"/>
        <v>10</v>
      </c>
      <c r="O744" s="9"/>
      <c r="P744" s="9"/>
      <c r="Q744" s="9"/>
      <c r="R744" s="9"/>
      <c r="S744" s="9"/>
      <c r="T744" s="9"/>
      <c r="U744" s="9"/>
    </row>
    <row r="745" spans="2:21" x14ac:dyDescent="0.2">
      <c r="B745" t="s">
        <v>285</v>
      </c>
      <c r="C745" t="s">
        <v>754</v>
      </c>
      <c r="D745" t="s">
        <v>91</v>
      </c>
      <c r="F745" s="9"/>
      <c r="G745" s="10">
        <v>1</v>
      </c>
      <c r="H745" s="10">
        <v>1</v>
      </c>
      <c r="I745" s="10">
        <v>0</v>
      </c>
      <c r="J745" s="9"/>
      <c r="K745" s="9">
        <v>10</v>
      </c>
      <c r="L745" s="1">
        <v>0</v>
      </c>
      <c r="M745" s="1">
        <f t="shared" si="29"/>
        <v>10</v>
      </c>
      <c r="N745" s="11">
        <f t="shared" si="30"/>
        <v>10</v>
      </c>
      <c r="O745" s="9"/>
      <c r="P745" s="9"/>
      <c r="Q745" s="9"/>
      <c r="R745" s="9"/>
      <c r="S745" s="9"/>
      <c r="T745" s="9"/>
      <c r="U745" s="9"/>
    </row>
    <row r="746" spans="2:21" x14ac:dyDescent="0.2">
      <c r="B746" t="s">
        <v>285</v>
      </c>
      <c r="C746" t="s">
        <v>755</v>
      </c>
      <c r="D746" t="s">
        <v>91</v>
      </c>
      <c r="F746" s="9"/>
      <c r="G746" s="10">
        <v>1</v>
      </c>
      <c r="H746" s="10">
        <v>1</v>
      </c>
      <c r="I746" s="10">
        <v>0</v>
      </c>
      <c r="J746" s="9"/>
      <c r="K746" s="9">
        <v>10</v>
      </c>
      <c r="L746" s="1">
        <v>0</v>
      </c>
      <c r="M746" s="1">
        <f t="shared" si="29"/>
        <v>10</v>
      </c>
      <c r="N746" s="11">
        <f t="shared" si="30"/>
        <v>10</v>
      </c>
      <c r="O746" s="9"/>
      <c r="P746" s="9"/>
      <c r="Q746" s="9"/>
      <c r="R746" s="9"/>
      <c r="S746" s="9"/>
      <c r="T746" s="9"/>
      <c r="U746" s="9"/>
    </row>
    <row r="747" spans="2:21" x14ac:dyDescent="0.2">
      <c r="B747" t="s">
        <v>285</v>
      </c>
      <c r="C747" t="s">
        <v>756</v>
      </c>
      <c r="D747" t="s">
        <v>91</v>
      </c>
      <c r="F747" s="9"/>
      <c r="G747" s="10">
        <v>1</v>
      </c>
      <c r="H747" s="10">
        <v>1</v>
      </c>
      <c r="I747" s="10">
        <v>0</v>
      </c>
      <c r="J747" s="9"/>
      <c r="K747" s="9">
        <v>10</v>
      </c>
      <c r="L747" s="1">
        <v>0</v>
      </c>
      <c r="M747" s="1">
        <f t="shared" si="29"/>
        <v>10</v>
      </c>
      <c r="N747" s="11">
        <f t="shared" si="30"/>
        <v>10</v>
      </c>
      <c r="O747" s="9"/>
      <c r="P747" s="9"/>
      <c r="Q747" s="9"/>
      <c r="R747" s="9"/>
      <c r="S747" s="9"/>
      <c r="T747" s="9"/>
      <c r="U747" s="9"/>
    </row>
    <row r="748" spans="2:21" x14ac:dyDescent="0.2">
      <c r="B748" t="s">
        <v>285</v>
      </c>
      <c r="C748" t="s">
        <v>757</v>
      </c>
      <c r="D748" t="s">
        <v>91</v>
      </c>
      <c r="F748" s="9"/>
      <c r="G748" s="10">
        <v>3</v>
      </c>
      <c r="H748" s="10">
        <v>3</v>
      </c>
      <c r="I748" s="10">
        <v>0</v>
      </c>
      <c r="J748" s="9"/>
      <c r="K748" s="9">
        <v>10</v>
      </c>
      <c r="L748" s="1">
        <v>0</v>
      </c>
      <c r="M748" s="1">
        <f t="shared" si="29"/>
        <v>10</v>
      </c>
      <c r="N748" s="11">
        <f t="shared" si="30"/>
        <v>30</v>
      </c>
      <c r="O748" s="9"/>
      <c r="P748" s="9"/>
      <c r="Q748" s="9"/>
      <c r="R748" s="9"/>
      <c r="S748" s="9"/>
      <c r="T748" s="9"/>
      <c r="U748" s="9"/>
    </row>
    <row r="749" spans="2:21" x14ac:dyDescent="0.2">
      <c r="B749" t="s">
        <v>285</v>
      </c>
      <c r="C749" t="s">
        <v>758</v>
      </c>
      <c r="D749" t="s">
        <v>91</v>
      </c>
      <c r="F749" s="9"/>
      <c r="G749" s="10">
        <v>1</v>
      </c>
      <c r="H749" s="10">
        <v>1</v>
      </c>
      <c r="I749" s="10">
        <v>0</v>
      </c>
      <c r="J749" s="9"/>
      <c r="K749" s="9">
        <v>10</v>
      </c>
      <c r="L749" s="1">
        <v>0</v>
      </c>
      <c r="M749" s="1">
        <f t="shared" si="29"/>
        <v>10</v>
      </c>
      <c r="N749" s="11">
        <f t="shared" si="30"/>
        <v>10</v>
      </c>
      <c r="O749" s="9"/>
      <c r="P749" s="9"/>
      <c r="Q749" s="9"/>
      <c r="R749" s="9"/>
      <c r="S749" s="9"/>
      <c r="T749" s="9"/>
      <c r="U749" s="9"/>
    </row>
    <row r="750" spans="2:21" x14ac:dyDescent="0.2">
      <c r="B750" t="s">
        <v>285</v>
      </c>
      <c r="C750" t="s">
        <v>759</v>
      </c>
      <c r="D750" t="s">
        <v>91</v>
      </c>
      <c r="F750" s="9"/>
      <c r="G750" s="10">
        <v>2</v>
      </c>
      <c r="H750" s="10">
        <v>2</v>
      </c>
      <c r="I750" s="10">
        <v>0</v>
      </c>
      <c r="J750" s="9"/>
      <c r="K750" s="9">
        <v>10</v>
      </c>
      <c r="L750" s="1">
        <v>0</v>
      </c>
      <c r="M750" s="1">
        <f t="shared" si="29"/>
        <v>10</v>
      </c>
      <c r="N750" s="11">
        <f t="shared" si="30"/>
        <v>20</v>
      </c>
      <c r="O750" s="9"/>
      <c r="P750" s="9"/>
      <c r="Q750" s="9"/>
      <c r="R750" s="9"/>
      <c r="S750" s="9"/>
      <c r="T750" s="9"/>
      <c r="U750" s="9"/>
    </row>
    <row r="751" spans="2:21" x14ac:dyDescent="0.2">
      <c r="B751" t="s">
        <v>282</v>
      </c>
      <c r="C751" t="s">
        <v>760</v>
      </c>
      <c r="D751" t="s">
        <v>97</v>
      </c>
      <c r="F751" s="9"/>
      <c r="G751" s="10">
        <v>1</v>
      </c>
      <c r="H751" s="10">
        <v>1</v>
      </c>
      <c r="I751" s="10">
        <v>0</v>
      </c>
      <c r="J751" s="9"/>
      <c r="K751" s="9">
        <v>10</v>
      </c>
      <c r="L751" s="1">
        <v>0</v>
      </c>
      <c r="M751" s="1">
        <f t="shared" si="29"/>
        <v>10</v>
      </c>
      <c r="N751" s="11">
        <f t="shared" si="30"/>
        <v>10</v>
      </c>
      <c r="O751" s="9"/>
      <c r="P751" s="9"/>
      <c r="Q751" s="9"/>
      <c r="R751" s="9"/>
      <c r="S751" s="9"/>
      <c r="T751" s="9"/>
      <c r="U751" s="9"/>
    </row>
    <row r="752" spans="2:21" x14ac:dyDescent="0.2">
      <c r="B752" t="s">
        <v>285</v>
      </c>
      <c r="C752" t="s">
        <v>760</v>
      </c>
      <c r="D752" t="s">
        <v>91</v>
      </c>
      <c r="F752" s="9"/>
      <c r="G752" s="10">
        <v>1</v>
      </c>
      <c r="H752" s="10">
        <v>1</v>
      </c>
      <c r="I752" s="10">
        <v>0</v>
      </c>
      <c r="J752" s="9"/>
      <c r="K752" s="9">
        <v>10</v>
      </c>
      <c r="L752" s="1">
        <v>0</v>
      </c>
      <c r="M752" s="1">
        <f t="shared" si="29"/>
        <v>10</v>
      </c>
      <c r="N752" s="11">
        <f t="shared" si="30"/>
        <v>10</v>
      </c>
      <c r="O752" s="9"/>
      <c r="P752" s="9"/>
      <c r="Q752" s="9"/>
      <c r="R752" s="9"/>
      <c r="S752" s="9"/>
      <c r="T752" s="9"/>
      <c r="U752" s="9"/>
    </row>
    <row r="753" spans="2:21" x14ac:dyDescent="0.2">
      <c r="B753" t="s">
        <v>285</v>
      </c>
      <c r="C753" t="s">
        <v>761</v>
      </c>
      <c r="D753" t="s">
        <v>91</v>
      </c>
      <c r="F753" s="9"/>
      <c r="G753" s="10">
        <v>1</v>
      </c>
      <c r="H753" s="10">
        <v>1</v>
      </c>
      <c r="I753" s="10">
        <v>0</v>
      </c>
      <c r="J753" s="9"/>
      <c r="K753" s="9">
        <v>10</v>
      </c>
      <c r="L753" s="1">
        <v>0</v>
      </c>
      <c r="M753" s="1">
        <f t="shared" si="29"/>
        <v>10</v>
      </c>
      <c r="N753" s="11">
        <f t="shared" si="30"/>
        <v>10</v>
      </c>
      <c r="O753" s="9"/>
      <c r="P753" s="9"/>
      <c r="Q753" s="9"/>
      <c r="R753" s="9"/>
      <c r="S753" s="9"/>
      <c r="T753" s="9"/>
      <c r="U753" s="9"/>
    </row>
    <row r="754" spans="2:21" x14ac:dyDescent="0.2">
      <c r="B754" t="s">
        <v>285</v>
      </c>
      <c r="C754" t="s">
        <v>762</v>
      </c>
      <c r="D754" t="s">
        <v>91</v>
      </c>
      <c r="F754" s="9"/>
      <c r="G754" s="10">
        <v>1</v>
      </c>
      <c r="H754" s="10">
        <v>1</v>
      </c>
      <c r="I754" s="10">
        <v>0</v>
      </c>
      <c r="J754" s="9"/>
      <c r="K754" s="9">
        <v>10</v>
      </c>
      <c r="L754" s="1">
        <v>0</v>
      </c>
      <c r="M754" s="1">
        <f t="shared" si="29"/>
        <v>10</v>
      </c>
      <c r="N754" s="11">
        <f t="shared" si="30"/>
        <v>10</v>
      </c>
      <c r="O754" s="9"/>
      <c r="P754" s="9"/>
      <c r="Q754" s="9"/>
      <c r="R754" s="9"/>
      <c r="S754" s="9"/>
      <c r="T754" s="9"/>
      <c r="U754" s="9"/>
    </row>
    <row r="755" spans="2:21" x14ac:dyDescent="0.2">
      <c r="B755" t="s">
        <v>694</v>
      </c>
      <c r="C755" t="s">
        <v>763</v>
      </c>
      <c r="D755" t="s">
        <v>91</v>
      </c>
      <c r="F755" s="9"/>
      <c r="G755" s="10">
        <v>1</v>
      </c>
      <c r="H755" s="10">
        <v>1</v>
      </c>
      <c r="I755" s="10">
        <v>0</v>
      </c>
      <c r="J755" s="9"/>
      <c r="K755" s="9">
        <v>10</v>
      </c>
      <c r="L755" s="1">
        <v>0</v>
      </c>
      <c r="M755" s="1">
        <f t="shared" si="29"/>
        <v>10</v>
      </c>
      <c r="N755" s="11">
        <f t="shared" si="30"/>
        <v>10</v>
      </c>
      <c r="O755" s="9"/>
      <c r="P755" s="9"/>
      <c r="Q755" s="9"/>
      <c r="R755" s="9"/>
      <c r="S755" s="9"/>
      <c r="T755" s="9"/>
      <c r="U755" s="9"/>
    </row>
    <row r="756" spans="2:21" x14ac:dyDescent="0.2">
      <c r="B756" t="s">
        <v>285</v>
      </c>
      <c r="C756" t="s">
        <v>764</v>
      </c>
      <c r="D756" t="s">
        <v>91</v>
      </c>
      <c r="F756" s="9"/>
      <c r="G756" s="10">
        <v>1</v>
      </c>
      <c r="H756" s="10">
        <v>1</v>
      </c>
      <c r="I756" s="10">
        <v>0</v>
      </c>
      <c r="J756" s="9"/>
      <c r="K756" s="9">
        <v>10</v>
      </c>
      <c r="L756" s="1">
        <v>0</v>
      </c>
      <c r="M756" s="1">
        <f t="shared" si="29"/>
        <v>10</v>
      </c>
      <c r="N756" s="11">
        <f t="shared" si="30"/>
        <v>10</v>
      </c>
      <c r="O756" s="9"/>
      <c r="P756" s="9"/>
      <c r="Q756" s="9"/>
      <c r="R756" s="9"/>
      <c r="S756" s="9"/>
      <c r="T756" s="9"/>
      <c r="U756" s="9"/>
    </row>
    <row r="757" spans="2:21" x14ac:dyDescent="0.2">
      <c r="B757" t="s">
        <v>285</v>
      </c>
      <c r="C757" t="s">
        <v>765</v>
      </c>
      <c r="D757" t="s">
        <v>91</v>
      </c>
      <c r="F757" s="9"/>
      <c r="G757" s="10">
        <v>3</v>
      </c>
      <c r="H757" s="10">
        <v>3</v>
      </c>
      <c r="I757" s="10">
        <v>0</v>
      </c>
      <c r="J757" s="9"/>
      <c r="K757" s="9">
        <v>10</v>
      </c>
      <c r="L757" s="1">
        <v>0</v>
      </c>
      <c r="M757" s="1">
        <f t="shared" si="29"/>
        <v>10</v>
      </c>
      <c r="N757" s="11">
        <f t="shared" si="30"/>
        <v>30</v>
      </c>
      <c r="O757" s="9"/>
      <c r="P757" s="9"/>
      <c r="Q757" s="9"/>
      <c r="R757" s="9"/>
      <c r="S757" s="9"/>
      <c r="T757" s="9"/>
      <c r="U757" s="9"/>
    </row>
    <row r="758" spans="2:21" x14ac:dyDescent="0.2">
      <c r="B758" t="s">
        <v>285</v>
      </c>
      <c r="C758" t="s">
        <v>766</v>
      </c>
      <c r="D758" t="s">
        <v>91</v>
      </c>
      <c r="F758" s="9"/>
      <c r="G758" s="10">
        <v>1</v>
      </c>
      <c r="H758" s="10">
        <v>1</v>
      </c>
      <c r="I758" s="10">
        <v>0</v>
      </c>
      <c r="J758" s="9"/>
      <c r="K758" s="9">
        <v>10</v>
      </c>
      <c r="L758" s="1">
        <v>0</v>
      </c>
      <c r="M758" s="1">
        <f t="shared" si="29"/>
        <v>10</v>
      </c>
      <c r="N758" s="11">
        <f t="shared" si="30"/>
        <v>10</v>
      </c>
      <c r="O758" s="9"/>
      <c r="P758" s="9"/>
      <c r="Q758" s="9"/>
      <c r="R758" s="9"/>
      <c r="S758" s="9"/>
      <c r="T758" s="9"/>
      <c r="U758" s="9"/>
    </row>
    <row r="759" spans="2:21" x14ac:dyDescent="0.2">
      <c r="B759" t="s">
        <v>277</v>
      </c>
      <c r="C759" t="s">
        <v>767</v>
      </c>
      <c r="D759" t="s">
        <v>34</v>
      </c>
      <c r="F759" s="9"/>
      <c r="G759" s="10">
        <v>1</v>
      </c>
      <c r="H759" s="10">
        <v>1</v>
      </c>
      <c r="I759" s="10">
        <v>0</v>
      </c>
      <c r="J759" s="9"/>
      <c r="K759" s="9">
        <v>10</v>
      </c>
      <c r="L759" s="1">
        <v>0</v>
      </c>
      <c r="M759" s="1">
        <f t="shared" si="29"/>
        <v>10</v>
      </c>
      <c r="N759" s="11">
        <f t="shared" si="30"/>
        <v>10</v>
      </c>
      <c r="O759" s="9"/>
      <c r="P759" s="9"/>
      <c r="Q759" s="9"/>
      <c r="R759" s="9"/>
      <c r="S759" s="9"/>
      <c r="T759" s="9"/>
      <c r="U759" s="9"/>
    </row>
    <row r="760" spans="2:21" x14ac:dyDescent="0.2">
      <c r="B760" t="s">
        <v>282</v>
      </c>
      <c r="C760" t="s">
        <v>480</v>
      </c>
      <c r="D760" t="s">
        <v>97</v>
      </c>
      <c r="F760" s="9"/>
      <c r="G760" s="10">
        <v>1</v>
      </c>
      <c r="H760" s="10">
        <v>1</v>
      </c>
      <c r="I760" s="10">
        <v>0</v>
      </c>
      <c r="J760" s="9"/>
      <c r="K760" s="9">
        <v>10</v>
      </c>
      <c r="L760" s="1">
        <v>0</v>
      </c>
      <c r="M760" s="1">
        <f t="shared" si="29"/>
        <v>10</v>
      </c>
      <c r="N760" s="11">
        <f t="shared" si="30"/>
        <v>10</v>
      </c>
      <c r="O760" s="9"/>
      <c r="P760" s="9"/>
      <c r="Q760" s="9"/>
      <c r="R760" s="9"/>
      <c r="S760" s="9"/>
      <c r="T760" s="9"/>
      <c r="U760" s="9"/>
    </row>
    <row r="761" spans="2:21" x14ac:dyDescent="0.2">
      <c r="B761" t="s">
        <v>282</v>
      </c>
      <c r="C761" t="s">
        <v>768</v>
      </c>
      <c r="D761" t="s">
        <v>97</v>
      </c>
      <c r="F761" s="9"/>
      <c r="G761" s="10">
        <v>1</v>
      </c>
      <c r="H761" s="10">
        <v>1</v>
      </c>
      <c r="I761" s="10">
        <v>0</v>
      </c>
      <c r="J761" s="9"/>
      <c r="K761" s="9">
        <v>10</v>
      </c>
      <c r="L761" s="1">
        <v>0</v>
      </c>
      <c r="M761" s="1">
        <f t="shared" ref="M761:M824" si="31">K761+L761</f>
        <v>10</v>
      </c>
      <c r="N761" s="11">
        <f t="shared" si="30"/>
        <v>10</v>
      </c>
      <c r="O761" s="9"/>
      <c r="P761" s="9"/>
      <c r="Q761" s="9"/>
      <c r="R761" s="9"/>
      <c r="S761" s="9"/>
      <c r="T761" s="9"/>
      <c r="U761" s="9"/>
    </row>
    <row r="762" spans="2:21" x14ac:dyDescent="0.2">
      <c r="B762" t="s">
        <v>282</v>
      </c>
      <c r="C762" t="s">
        <v>324</v>
      </c>
      <c r="D762" t="s">
        <v>97</v>
      </c>
      <c r="F762" s="9"/>
      <c r="G762" s="10">
        <v>1</v>
      </c>
      <c r="H762" s="10">
        <v>1</v>
      </c>
      <c r="I762" s="10">
        <v>0</v>
      </c>
      <c r="J762" s="9"/>
      <c r="K762" s="9">
        <v>10</v>
      </c>
      <c r="L762" s="1">
        <v>0</v>
      </c>
      <c r="M762" s="1">
        <f t="shared" si="31"/>
        <v>10</v>
      </c>
      <c r="N762" s="11">
        <f t="shared" si="30"/>
        <v>10</v>
      </c>
      <c r="O762" s="9"/>
      <c r="P762" s="9"/>
      <c r="Q762" s="9"/>
      <c r="R762" s="9"/>
      <c r="S762" s="9"/>
      <c r="T762" s="9"/>
      <c r="U762" s="9"/>
    </row>
    <row r="763" spans="2:21" x14ac:dyDescent="0.2">
      <c r="B763" t="s">
        <v>282</v>
      </c>
      <c r="C763" t="s">
        <v>769</v>
      </c>
      <c r="D763" t="s">
        <v>97</v>
      </c>
      <c r="F763" s="9"/>
      <c r="G763" s="10">
        <v>1</v>
      </c>
      <c r="H763" s="10">
        <v>1</v>
      </c>
      <c r="I763" s="10">
        <v>0</v>
      </c>
      <c r="J763" s="9"/>
      <c r="K763" s="9">
        <v>10</v>
      </c>
      <c r="L763" s="1">
        <v>0</v>
      </c>
      <c r="M763" s="1">
        <f t="shared" si="31"/>
        <v>10</v>
      </c>
      <c r="N763" s="11">
        <f t="shared" si="30"/>
        <v>10</v>
      </c>
      <c r="O763" s="9"/>
      <c r="P763" s="9"/>
      <c r="Q763" s="9"/>
      <c r="R763" s="9"/>
      <c r="S763" s="9"/>
      <c r="T763" s="9"/>
      <c r="U763" s="9"/>
    </row>
    <row r="764" spans="2:21" x14ac:dyDescent="0.2">
      <c r="B764" t="s">
        <v>282</v>
      </c>
      <c r="C764" t="s">
        <v>770</v>
      </c>
      <c r="D764" t="s">
        <v>97</v>
      </c>
      <c r="F764" s="9"/>
      <c r="G764" s="10">
        <v>1</v>
      </c>
      <c r="H764" s="10">
        <v>1</v>
      </c>
      <c r="I764" s="10">
        <v>0</v>
      </c>
      <c r="J764" s="9"/>
      <c r="K764" s="9">
        <v>10</v>
      </c>
      <c r="L764" s="1">
        <v>0</v>
      </c>
      <c r="M764" s="1">
        <f t="shared" si="31"/>
        <v>10</v>
      </c>
      <c r="N764" s="11">
        <f t="shared" si="30"/>
        <v>10</v>
      </c>
      <c r="O764" s="9"/>
      <c r="P764" s="9"/>
      <c r="Q764" s="9"/>
      <c r="R764" s="9"/>
      <c r="S764" s="9"/>
      <c r="T764" s="9"/>
      <c r="U764" s="9"/>
    </row>
    <row r="765" spans="2:21" x14ac:dyDescent="0.2">
      <c r="B765" t="s">
        <v>282</v>
      </c>
      <c r="C765" t="s">
        <v>771</v>
      </c>
      <c r="D765" t="s">
        <v>97</v>
      </c>
      <c r="F765" s="9"/>
      <c r="G765" s="10">
        <v>1</v>
      </c>
      <c r="H765" s="10">
        <v>1</v>
      </c>
      <c r="I765" s="10">
        <v>0</v>
      </c>
      <c r="J765" s="9"/>
      <c r="K765" s="9">
        <v>10</v>
      </c>
      <c r="L765" s="1">
        <v>0</v>
      </c>
      <c r="M765" s="1">
        <f t="shared" si="31"/>
        <v>10</v>
      </c>
      <c r="N765" s="11">
        <f t="shared" si="30"/>
        <v>10</v>
      </c>
      <c r="O765" s="9"/>
      <c r="P765" s="9"/>
      <c r="Q765" s="9"/>
      <c r="R765" s="9"/>
      <c r="S765" s="9"/>
      <c r="T765" s="9"/>
      <c r="U765" s="9"/>
    </row>
    <row r="766" spans="2:21" x14ac:dyDescent="0.2">
      <c r="B766" t="s">
        <v>282</v>
      </c>
      <c r="C766" t="s">
        <v>772</v>
      </c>
      <c r="D766" t="s">
        <v>97</v>
      </c>
      <c r="F766" s="9"/>
      <c r="G766" s="10">
        <v>1</v>
      </c>
      <c r="H766" s="10">
        <v>1</v>
      </c>
      <c r="I766" s="10">
        <v>0</v>
      </c>
      <c r="J766" s="9"/>
      <c r="K766" s="9">
        <v>10</v>
      </c>
      <c r="L766" s="1">
        <v>0</v>
      </c>
      <c r="M766" s="1">
        <f t="shared" si="31"/>
        <v>10</v>
      </c>
      <c r="N766" s="11">
        <f t="shared" si="30"/>
        <v>10</v>
      </c>
      <c r="O766" s="9"/>
      <c r="P766" s="9"/>
      <c r="Q766" s="9"/>
      <c r="R766" s="9"/>
      <c r="S766" s="9"/>
      <c r="T766" s="9"/>
      <c r="U766" s="9"/>
    </row>
    <row r="767" spans="2:21" x14ac:dyDescent="0.2">
      <c r="B767" t="s">
        <v>93</v>
      </c>
      <c r="C767" t="s">
        <v>773</v>
      </c>
      <c r="D767" t="s">
        <v>91</v>
      </c>
      <c r="F767" s="9"/>
      <c r="G767" s="10">
        <v>1</v>
      </c>
      <c r="H767" s="10">
        <v>1</v>
      </c>
      <c r="I767" s="10">
        <v>0</v>
      </c>
      <c r="J767" s="9"/>
      <c r="K767" s="9">
        <v>10</v>
      </c>
      <c r="L767" s="1">
        <v>0</v>
      </c>
      <c r="M767" s="1">
        <f t="shared" si="31"/>
        <v>10</v>
      </c>
      <c r="N767" s="11">
        <f t="shared" si="30"/>
        <v>10</v>
      </c>
      <c r="O767" s="9"/>
      <c r="P767" s="9"/>
      <c r="Q767" s="9"/>
      <c r="R767" s="9"/>
      <c r="S767" s="9"/>
      <c r="T767" s="9"/>
      <c r="U767" s="9"/>
    </row>
    <row r="768" spans="2:21" x14ac:dyDescent="0.2">
      <c r="B768" t="s">
        <v>93</v>
      </c>
      <c r="C768" t="s">
        <v>774</v>
      </c>
      <c r="D768" t="s">
        <v>91</v>
      </c>
      <c r="F768" s="9"/>
      <c r="G768" s="10">
        <v>1</v>
      </c>
      <c r="H768" s="10">
        <v>1</v>
      </c>
      <c r="I768" s="10">
        <v>0</v>
      </c>
      <c r="J768" s="9"/>
      <c r="K768" s="9">
        <v>10</v>
      </c>
      <c r="L768" s="1">
        <v>0</v>
      </c>
      <c r="M768" s="1">
        <f t="shared" si="31"/>
        <v>10</v>
      </c>
      <c r="N768" s="11">
        <f t="shared" si="30"/>
        <v>10</v>
      </c>
      <c r="O768" s="9"/>
      <c r="P768" s="9"/>
      <c r="Q768" s="9"/>
      <c r="R768" s="9"/>
      <c r="S768" s="9"/>
      <c r="T768" s="9"/>
      <c r="U768" s="9"/>
    </row>
    <row r="769" spans="2:21" x14ac:dyDescent="0.2">
      <c r="B769" t="s">
        <v>93</v>
      </c>
      <c r="C769" t="s">
        <v>775</v>
      </c>
      <c r="D769" t="s">
        <v>91</v>
      </c>
      <c r="F769" s="9"/>
      <c r="G769" s="10">
        <v>1</v>
      </c>
      <c r="H769" s="10">
        <v>1</v>
      </c>
      <c r="I769" s="10">
        <v>0</v>
      </c>
      <c r="J769" s="9"/>
      <c r="K769" s="9">
        <v>10</v>
      </c>
      <c r="L769" s="1">
        <v>0</v>
      </c>
      <c r="M769" s="1">
        <f t="shared" si="31"/>
        <v>10</v>
      </c>
      <c r="N769" s="11">
        <f t="shared" si="30"/>
        <v>10</v>
      </c>
      <c r="O769" s="9"/>
      <c r="P769" s="9"/>
      <c r="Q769" s="9"/>
      <c r="R769" s="9"/>
      <c r="S769" s="9"/>
      <c r="T769" s="9"/>
      <c r="U769" s="9"/>
    </row>
    <row r="770" spans="2:21" x14ac:dyDescent="0.2">
      <c r="B770" t="s">
        <v>96</v>
      </c>
      <c r="C770" t="s">
        <v>776</v>
      </c>
      <c r="D770" t="s">
        <v>97</v>
      </c>
      <c r="F770" s="9"/>
      <c r="G770" s="10">
        <v>2</v>
      </c>
      <c r="H770" s="10">
        <v>2</v>
      </c>
      <c r="I770" s="10">
        <v>0</v>
      </c>
      <c r="J770" s="9"/>
      <c r="K770" s="9">
        <v>10</v>
      </c>
      <c r="L770" s="1">
        <v>0</v>
      </c>
      <c r="M770" s="1">
        <f t="shared" si="31"/>
        <v>10</v>
      </c>
      <c r="N770" s="11">
        <f t="shared" si="30"/>
        <v>20</v>
      </c>
      <c r="O770" s="9"/>
      <c r="P770" s="9"/>
      <c r="Q770" s="9"/>
      <c r="R770" s="9"/>
      <c r="S770" s="9"/>
      <c r="T770" s="9"/>
      <c r="U770" s="9"/>
    </row>
    <row r="771" spans="2:21" x14ac:dyDescent="0.2">
      <c r="B771" t="s">
        <v>93</v>
      </c>
      <c r="C771" t="s">
        <v>777</v>
      </c>
      <c r="D771" t="s">
        <v>91</v>
      </c>
      <c r="F771" s="9"/>
      <c r="G771" s="10">
        <v>1</v>
      </c>
      <c r="H771" s="10">
        <v>1</v>
      </c>
      <c r="I771" s="10">
        <v>0</v>
      </c>
      <c r="J771" s="9"/>
      <c r="K771" s="9">
        <v>10</v>
      </c>
      <c r="L771" s="1">
        <v>0</v>
      </c>
      <c r="M771" s="1">
        <f t="shared" si="31"/>
        <v>10</v>
      </c>
      <c r="N771" s="11">
        <f t="shared" ref="N771:N834" si="32">G771*K771</f>
        <v>10</v>
      </c>
      <c r="O771" s="9"/>
      <c r="P771" s="9"/>
      <c r="Q771" s="9"/>
      <c r="R771" s="9"/>
      <c r="S771" s="9"/>
      <c r="T771" s="9"/>
      <c r="U771" s="9"/>
    </row>
    <row r="772" spans="2:21" x14ac:dyDescent="0.2">
      <c r="B772" t="s">
        <v>93</v>
      </c>
      <c r="C772" t="s">
        <v>778</v>
      </c>
      <c r="D772" t="s">
        <v>91</v>
      </c>
      <c r="F772" s="9"/>
      <c r="G772" s="10">
        <v>1</v>
      </c>
      <c r="H772" s="10">
        <v>1</v>
      </c>
      <c r="I772" s="10">
        <v>0</v>
      </c>
      <c r="J772" s="9"/>
      <c r="K772" s="9">
        <v>10</v>
      </c>
      <c r="L772" s="1">
        <v>0</v>
      </c>
      <c r="M772" s="1">
        <f t="shared" si="31"/>
        <v>10</v>
      </c>
      <c r="N772" s="11">
        <f t="shared" si="32"/>
        <v>10</v>
      </c>
      <c r="O772" s="9"/>
      <c r="P772" s="9"/>
      <c r="Q772" s="9"/>
      <c r="R772" s="9"/>
      <c r="S772" s="9"/>
      <c r="T772" s="9"/>
      <c r="U772" s="9"/>
    </row>
    <row r="773" spans="2:21" x14ac:dyDescent="0.2">
      <c r="B773" t="s">
        <v>99</v>
      </c>
      <c r="C773" t="s">
        <v>779</v>
      </c>
      <c r="D773" t="s">
        <v>34</v>
      </c>
      <c r="F773" s="9"/>
      <c r="G773" s="10">
        <v>1</v>
      </c>
      <c r="H773" s="10">
        <v>1</v>
      </c>
      <c r="I773" s="10">
        <v>0</v>
      </c>
      <c r="J773" s="9"/>
      <c r="K773" s="9">
        <v>10</v>
      </c>
      <c r="L773" s="1">
        <v>0</v>
      </c>
      <c r="M773" s="1">
        <f t="shared" si="31"/>
        <v>10</v>
      </c>
      <c r="N773" s="11">
        <f t="shared" si="32"/>
        <v>10</v>
      </c>
      <c r="O773" s="9"/>
      <c r="P773" s="9"/>
      <c r="Q773" s="9"/>
      <c r="R773" s="9"/>
      <c r="S773" s="9"/>
      <c r="T773" s="9"/>
      <c r="U773" s="9"/>
    </row>
    <row r="774" spans="2:21" x14ac:dyDescent="0.2">
      <c r="B774" t="s">
        <v>780</v>
      </c>
      <c r="C774" t="s">
        <v>781</v>
      </c>
      <c r="D774" t="s">
        <v>158</v>
      </c>
      <c r="F774" s="9"/>
      <c r="G774" s="10">
        <v>1</v>
      </c>
      <c r="H774" s="10">
        <v>1</v>
      </c>
      <c r="I774" s="10">
        <v>0</v>
      </c>
      <c r="J774" s="9"/>
      <c r="K774" s="9">
        <v>40</v>
      </c>
      <c r="L774" s="1">
        <v>0</v>
      </c>
      <c r="M774" s="1">
        <f t="shared" si="31"/>
        <v>40</v>
      </c>
      <c r="N774" s="11">
        <f t="shared" si="32"/>
        <v>40</v>
      </c>
      <c r="O774" s="9"/>
      <c r="P774" s="9"/>
      <c r="Q774" s="9"/>
      <c r="R774" s="9"/>
      <c r="S774" s="9"/>
      <c r="T774" s="9"/>
      <c r="U774" s="9"/>
    </row>
    <row r="775" spans="2:21" x14ac:dyDescent="0.2">
      <c r="B775" t="s">
        <v>780</v>
      </c>
      <c r="C775" t="s">
        <v>782</v>
      </c>
      <c r="D775" t="s">
        <v>132</v>
      </c>
      <c r="F775" s="9"/>
      <c r="G775" s="10">
        <v>1</v>
      </c>
      <c r="H775" s="10">
        <v>1</v>
      </c>
      <c r="I775" s="10">
        <v>0</v>
      </c>
      <c r="J775" s="9"/>
      <c r="K775" s="9">
        <v>40</v>
      </c>
      <c r="L775" s="1">
        <v>0</v>
      </c>
      <c r="M775" s="1">
        <f t="shared" si="31"/>
        <v>40</v>
      </c>
      <c r="N775" s="11">
        <f t="shared" si="32"/>
        <v>40</v>
      </c>
      <c r="O775" s="9"/>
      <c r="P775" s="9"/>
      <c r="Q775" s="9"/>
      <c r="R775" s="9"/>
      <c r="S775" s="9"/>
      <c r="T775" s="9"/>
      <c r="U775" s="9"/>
    </row>
    <row r="776" spans="2:21" x14ac:dyDescent="0.2">
      <c r="B776" t="s">
        <v>277</v>
      </c>
      <c r="C776" t="s">
        <v>783</v>
      </c>
      <c r="D776" t="s">
        <v>34</v>
      </c>
      <c r="F776" s="9"/>
      <c r="G776" s="10">
        <v>1</v>
      </c>
      <c r="H776" s="10">
        <v>1</v>
      </c>
      <c r="I776" s="10">
        <v>0</v>
      </c>
      <c r="J776" s="9"/>
      <c r="K776" s="9">
        <v>10</v>
      </c>
      <c r="L776" s="1">
        <v>0</v>
      </c>
      <c r="M776" s="1">
        <f t="shared" si="31"/>
        <v>10</v>
      </c>
      <c r="N776" s="11">
        <f t="shared" si="32"/>
        <v>10</v>
      </c>
      <c r="O776" s="9"/>
      <c r="P776" s="9"/>
      <c r="Q776" s="9"/>
      <c r="R776" s="9"/>
      <c r="S776" s="9"/>
      <c r="T776" s="9"/>
      <c r="U776" s="9"/>
    </row>
    <row r="777" spans="2:21" x14ac:dyDescent="0.2">
      <c r="B777" t="s">
        <v>282</v>
      </c>
      <c r="C777" t="s">
        <v>784</v>
      </c>
      <c r="D777" t="s">
        <v>97</v>
      </c>
      <c r="F777" s="9"/>
      <c r="G777" s="10">
        <v>1</v>
      </c>
      <c r="H777" s="10">
        <v>1</v>
      </c>
      <c r="I777" s="10">
        <v>0</v>
      </c>
      <c r="J777" s="9"/>
      <c r="K777" s="9">
        <v>10</v>
      </c>
      <c r="L777" s="1">
        <v>0</v>
      </c>
      <c r="M777" s="1">
        <f t="shared" si="31"/>
        <v>10</v>
      </c>
      <c r="N777" s="11">
        <f t="shared" si="32"/>
        <v>10</v>
      </c>
      <c r="O777" s="9"/>
      <c r="P777" s="9"/>
      <c r="Q777" s="9"/>
      <c r="R777" s="9"/>
      <c r="S777" s="9"/>
      <c r="T777" s="9"/>
      <c r="U777" s="9"/>
    </row>
    <row r="778" spans="2:21" x14ac:dyDescent="0.2">
      <c r="B778" t="s">
        <v>282</v>
      </c>
      <c r="C778" t="s">
        <v>785</v>
      </c>
      <c r="D778" t="s">
        <v>97</v>
      </c>
      <c r="F778" s="9"/>
      <c r="G778" s="10">
        <v>1</v>
      </c>
      <c r="H778" s="10">
        <v>1</v>
      </c>
      <c r="I778" s="10">
        <v>0</v>
      </c>
      <c r="J778" s="9"/>
      <c r="K778" s="9">
        <v>10</v>
      </c>
      <c r="L778" s="1">
        <v>0</v>
      </c>
      <c r="M778" s="1">
        <f t="shared" si="31"/>
        <v>10</v>
      </c>
      <c r="N778" s="11">
        <f t="shared" si="32"/>
        <v>10</v>
      </c>
      <c r="O778" s="9"/>
      <c r="P778" s="9"/>
      <c r="Q778" s="9"/>
      <c r="R778" s="9"/>
      <c r="S778" s="9"/>
      <c r="T778" s="9"/>
      <c r="U778" s="9"/>
    </row>
    <row r="779" spans="2:21" x14ac:dyDescent="0.2">
      <c r="B779" t="s">
        <v>282</v>
      </c>
      <c r="C779" t="s">
        <v>337</v>
      </c>
      <c r="D779" t="s">
        <v>97</v>
      </c>
      <c r="F779" s="9"/>
      <c r="G779" s="10">
        <v>1</v>
      </c>
      <c r="H779" s="10">
        <v>1</v>
      </c>
      <c r="I779" s="10">
        <v>0</v>
      </c>
      <c r="J779" s="9"/>
      <c r="K779" s="9">
        <v>10</v>
      </c>
      <c r="L779" s="1">
        <v>0</v>
      </c>
      <c r="M779" s="1">
        <f t="shared" si="31"/>
        <v>10</v>
      </c>
      <c r="N779" s="11">
        <f t="shared" si="32"/>
        <v>10</v>
      </c>
      <c r="O779" s="9"/>
      <c r="P779" s="9"/>
      <c r="Q779" s="9"/>
      <c r="R779" s="9"/>
      <c r="S779" s="9"/>
      <c r="T779" s="9"/>
      <c r="U779" s="9"/>
    </row>
    <row r="780" spans="2:21" x14ac:dyDescent="0.2">
      <c r="B780" t="s">
        <v>282</v>
      </c>
      <c r="C780" t="s">
        <v>786</v>
      </c>
      <c r="D780" t="s">
        <v>97</v>
      </c>
      <c r="F780" s="9"/>
      <c r="G780" s="10">
        <v>1</v>
      </c>
      <c r="H780" s="10">
        <v>1</v>
      </c>
      <c r="I780" s="10">
        <v>0</v>
      </c>
      <c r="J780" s="9"/>
      <c r="K780" s="9">
        <v>10</v>
      </c>
      <c r="L780" s="1">
        <v>0</v>
      </c>
      <c r="M780" s="1">
        <f t="shared" si="31"/>
        <v>10</v>
      </c>
      <c r="N780" s="11">
        <f t="shared" si="32"/>
        <v>10</v>
      </c>
      <c r="O780" s="9"/>
      <c r="P780" s="9"/>
      <c r="Q780" s="9"/>
      <c r="R780" s="9"/>
      <c r="S780" s="9"/>
      <c r="T780" s="9"/>
      <c r="U780" s="9"/>
    </row>
    <row r="781" spans="2:21" x14ac:dyDescent="0.2">
      <c r="B781" t="s">
        <v>282</v>
      </c>
      <c r="C781" t="s">
        <v>787</v>
      </c>
      <c r="D781" t="s">
        <v>97</v>
      </c>
      <c r="F781" s="9"/>
      <c r="G781" s="10">
        <v>3</v>
      </c>
      <c r="H781" s="10">
        <v>3</v>
      </c>
      <c r="I781" s="10">
        <v>0</v>
      </c>
      <c r="J781" s="9"/>
      <c r="K781" s="9">
        <v>10</v>
      </c>
      <c r="L781" s="1">
        <v>0</v>
      </c>
      <c r="M781" s="1">
        <f t="shared" si="31"/>
        <v>10</v>
      </c>
      <c r="N781" s="11">
        <f t="shared" si="32"/>
        <v>30</v>
      </c>
      <c r="O781" s="9"/>
      <c r="P781" s="9"/>
      <c r="Q781" s="9"/>
      <c r="R781" s="9"/>
      <c r="S781" s="9"/>
      <c r="T781" s="9"/>
      <c r="U781" s="9"/>
    </row>
    <row r="782" spans="2:21" x14ac:dyDescent="0.2">
      <c r="B782" t="s">
        <v>282</v>
      </c>
      <c r="C782" t="s">
        <v>788</v>
      </c>
      <c r="D782" t="s">
        <v>97</v>
      </c>
      <c r="F782" s="9"/>
      <c r="G782" s="10">
        <v>1</v>
      </c>
      <c r="H782" s="10">
        <v>1</v>
      </c>
      <c r="I782" s="10">
        <v>0</v>
      </c>
      <c r="J782" s="9"/>
      <c r="K782" s="9">
        <v>10</v>
      </c>
      <c r="L782" s="1">
        <v>0</v>
      </c>
      <c r="M782" s="1">
        <f t="shared" si="31"/>
        <v>10</v>
      </c>
      <c r="N782" s="11">
        <f t="shared" si="32"/>
        <v>10</v>
      </c>
      <c r="O782" s="9"/>
      <c r="P782" s="9"/>
      <c r="Q782" s="9"/>
      <c r="R782" s="9"/>
      <c r="S782" s="9"/>
      <c r="T782" s="9"/>
      <c r="U782" s="9"/>
    </row>
    <row r="783" spans="2:21" x14ac:dyDescent="0.2">
      <c r="B783" t="s">
        <v>282</v>
      </c>
      <c r="C783" t="s">
        <v>789</v>
      </c>
      <c r="D783" t="s">
        <v>34</v>
      </c>
      <c r="F783" s="9"/>
      <c r="G783" s="10">
        <v>1</v>
      </c>
      <c r="H783" s="10">
        <v>1</v>
      </c>
      <c r="I783" s="10">
        <v>0</v>
      </c>
      <c r="J783" s="9"/>
      <c r="K783" s="9">
        <v>10</v>
      </c>
      <c r="L783" s="1">
        <v>0</v>
      </c>
      <c r="M783" s="1">
        <f t="shared" si="31"/>
        <v>10</v>
      </c>
      <c r="N783" s="11">
        <f t="shared" si="32"/>
        <v>10</v>
      </c>
      <c r="O783" s="9"/>
      <c r="P783" s="9"/>
      <c r="Q783" s="9"/>
      <c r="R783" s="9"/>
      <c r="S783" s="9"/>
      <c r="T783" s="9"/>
      <c r="U783" s="9"/>
    </row>
    <row r="784" spans="2:21" x14ac:dyDescent="0.2">
      <c r="B784" t="s">
        <v>282</v>
      </c>
      <c r="C784" t="s">
        <v>790</v>
      </c>
      <c r="D784" t="s">
        <v>97</v>
      </c>
      <c r="F784" s="9"/>
      <c r="G784" s="10">
        <v>1</v>
      </c>
      <c r="H784" s="10">
        <v>1</v>
      </c>
      <c r="I784" s="10">
        <v>0</v>
      </c>
      <c r="J784" s="9"/>
      <c r="K784" s="9">
        <v>10</v>
      </c>
      <c r="L784" s="1">
        <v>0</v>
      </c>
      <c r="M784" s="1">
        <f t="shared" si="31"/>
        <v>10</v>
      </c>
      <c r="N784" s="11">
        <f t="shared" si="32"/>
        <v>10</v>
      </c>
      <c r="O784" s="9"/>
      <c r="P784" s="9"/>
      <c r="Q784" s="9"/>
      <c r="R784" s="9"/>
      <c r="S784" s="9"/>
      <c r="T784" s="9"/>
      <c r="U784" s="9"/>
    </row>
    <row r="785" spans="2:21" x14ac:dyDescent="0.2">
      <c r="B785" t="s">
        <v>282</v>
      </c>
      <c r="C785" t="s">
        <v>791</v>
      </c>
      <c r="D785" t="s">
        <v>97</v>
      </c>
      <c r="F785" s="9"/>
      <c r="G785" s="10">
        <v>1</v>
      </c>
      <c r="H785" s="10">
        <v>1</v>
      </c>
      <c r="I785" s="10">
        <v>0</v>
      </c>
      <c r="J785" s="9"/>
      <c r="K785" s="9">
        <v>10</v>
      </c>
      <c r="L785" s="1">
        <v>0</v>
      </c>
      <c r="M785" s="1">
        <f t="shared" si="31"/>
        <v>10</v>
      </c>
      <c r="N785" s="11">
        <f t="shared" si="32"/>
        <v>10</v>
      </c>
      <c r="O785" s="9"/>
      <c r="P785" s="9"/>
      <c r="Q785" s="9"/>
      <c r="R785" s="9"/>
      <c r="S785" s="9"/>
      <c r="T785" s="9"/>
      <c r="U785" s="9"/>
    </row>
    <row r="786" spans="2:21" x14ac:dyDescent="0.2">
      <c r="B786" t="s">
        <v>282</v>
      </c>
      <c r="C786" t="s">
        <v>792</v>
      </c>
      <c r="D786" t="s">
        <v>97</v>
      </c>
      <c r="F786" s="9"/>
      <c r="G786" s="10">
        <v>1</v>
      </c>
      <c r="H786" s="10">
        <v>1</v>
      </c>
      <c r="I786" s="10">
        <v>0</v>
      </c>
      <c r="J786" s="9"/>
      <c r="K786" s="9">
        <v>10</v>
      </c>
      <c r="L786" s="1">
        <v>0</v>
      </c>
      <c r="M786" s="1">
        <f t="shared" si="31"/>
        <v>10</v>
      </c>
      <c r="N786" s="11">
        <f t="shared" si="32"/>
        <v>10</v>
      </c>
      <c r="O786" s="9"/>
      <c r="P786" s="9"/>
      <c r="Q786" s="9"/>
      <c r="R786" s="9"/>
      <c r="S786" s="9"/>
      <c r="T786" s="9"/>
      <c r="U786" s="9"/>
    </row>
    <row r="787" spans="2:21" x14ac:dyDescent="0.2">
      <c r="B787" t="s">
        <v>780</v>
      </c>
      <c r="C787" t="s">
        <v>793</v>
      </c>
      <c r="D787" t="s">
        <v>384</v>
      </c>
      <c r="F787" s="9"/>
      <c r="G787" s="10">
        <v>1</v>
      </c>
      <c r="H787" s="10">
        <v>1</v>
      </c>
      <c r="I787" s="10">
        <v>0</v>
      </c>
      <c r="J787" s="9"/>
      <c r="K787" s="9">
        <v>10</v>
      </c>
      <c r="L787" s="1">
        <v>0</v>
      </c>
      <c r="M787" s="1">
        <f t="shared" si="31"/>
        <v>10</v>
      </c>
      <c r="N787" s="11">
        <f t="shared" si="32"/>
        <v>10</v>
      </c>
      <c r="O787" s="9"/>
      <c r="P787" s="9"/>
      <c r="Q787" s="9"/>
      <c r="R787" s="9"/>
      <c r="S787" s="9"/>
      <c r="T787" s="9"/>
      <c r="U787" s="9"/>
    </row>
    <row r="788" spans="2:21" x14ac:dyDescent="0.2">
      <c r="B788" t="s">
        <v>99</v>
      </c>
      <c r="C788" t="s">
        <v>794</v>
      </c>
      <c r="D788" t="s">
        <v>795</v>
      </c>
      <c r="F788" s="9"/>
      <c r="G788" s="10">
        <v>1</v>
      </c>
      <c r="H788" s="10">
        <v>1</v>
      </c>
      <c r="I788" s="10">
        <v>0</v>
      </c>
      <c r="J788" s="9"/>
      <c r="K788" s="9">
        <v>10</v>
      </c>
      <c r="L788" s="1">
        <v>0</v>
      </c>
      <c r="M788" s="1">
        <f t="shared" si="31"/>
        <v>10</v>
      </c>
      <c r="N788" s="11">
        <f t="shared" si="32"/>
        <v>10</v>
      </c>
      <c r="O788" s="9"/>
      <c r="P788" s="9"/>
      <c r="Q788" s="9"/>
      <c r="R788" s="9"/>
      <c r="S788" s="9"/>
      <c r="T788" s="9"/>
      <c r="U788" s="9"/>
    </row>
    <row r="789" spans="2:21" x14ac:dyDescent="0.2">
      <c r="B789" t="s">
        <v>93</v>
      </c>
      <c r="C789" t="s">
        <v>796</v>
      </c>
      <c r="D789" t="s">
        <v>797</v>
      </c>
      <c r="F789" s="9"/>
      <c r="G789" s="10">
        <v>1</v>
      </c>
      <c r="H789" s="10">
        <v>1</v>
      </c>
      <c r="I789" s="10">
        <v>0</v>
      </c>
      <c r="J789" s="9"/>
      <c r="K789" s="9">
        <v>10</v>
      </c>
      <c r="L789" s="1">
        <v>0</v>
      </c>
      <c r="M789" s="1">
        <f t="shared" si="31"/>
        <v>10</v>
      </c>
      <c r="N789" s="11">
        <f t="shared" si="32"/>
        <v>10</v>
      </c>
      <c r="O789" s="9"/>
      <c r="P789" s="9"/>
      <c r="Q789" s="9"/>
      <c r="R789" s="9"/>
      <c r="S789" s="9"/>
      <c r="T789" s="9"/>
      <c r="U789" s="9"/>
    </row>
    <row r="790" spans="2:21" x14ac:dyDescent="0.2">
      <c r="B790" t="s">
        <v>93</v>
      </c>
      <c r="C790" t="s">
        <v>798</v>
      </c>
      <c r="D790" t="s">
        <v>797</v>
      </c>
      <c r="F790" s="9"/>
      <c r="G790" s="10">
        <v>1</v>
      </c>
      <c r="H790" s="10">
        <v>1</v>
      </c>
      <c r="I790" s="10">
        <v>0</v>
      </c>
      <c r="J790" s="9"/>
      <c r="K790" s="9">
        <v>10</v>
      </c>
      <c r="L790" s="1">
        <v>0</v>
      </c>
      <c r="M790" s="1">
        <f t="shared" si="31"/>
        <v>10</v>
      </c>
      <c r="N790" s="11">
        <f t="shared" si="32"/>
        <v>10</v>
      </c>
      <c r="O790" s="9"/>
      <c r="P790" s="9"/>
      <c r="Q790" s="9"/>
      <c r="R790" s="9"/>
      <c r="S790" s="9"/>
      <c r="T790" s="9"/>
      <c r="U790" s="9"/>
    </row>
    <row r="791" spans="2:21" x14ac:dyDescent="0.2">
      <c r="B791" t="s">
        <v>93</v>
      </c>
      <c r="C791" t="s">
        <v>799</v>
      </c>
      <c r="D791" t="s">
        <v>800</v>
      </c>
      <c r="F791" s="9"/>
      <c r="G791" s="10">
        <v>1</v>
      </c>
      <c r="H791" s="10">
        <v>1</v>
      </c>
      <c r="I791" s="10">
        <v>0</v>
      </c>
      <c r="J791" s="9"/>
      <c r="K791" s="9">
        <v>10</v>
      </c>
      <c r="L791" s="1">
        <v>0</v>
      </c>
      <c r="M791" s="1">
        <f t="shared" si="31"/>
        <v>10</v>
      </c>
      <c r="N791" s="11">
        <f t="shared" si="32"/>
        <v>10</v>
      </c>
      <c r="O791" s="9"/>
      <c r="P791" s="9"/>
      <c r="Q791" s="9"/>
      <c r="R791" s="9"/>
      <c r="S791" s="9"/>
      <c r="T791" s="9"/>
      <c r="U791" s="9"/>
    </row>
    <row r="792" spans="2:21" x14ac:dyDescent="0.2">
      <c r="B792" t="s">
        <v>99</v>
      </c>
      <c r="C792" t="s">
        <v>801</v>
      </c>
      <c r="D792" t="s">
        <v>716</v>
      </c>
      <c r="F792" s="9"/>
      <c r="G792" s="10">
        <v>1</v>
      </c>
      <c r="H792" s="10">
        <v>1</v>
      </c>
      <c r="I792" s="10">
        <v>0</v>
      </c>
      <c r="J792" s="9"/>
      <c r="K792" s="9">
        <v>10</v>
      </c>
      <c r="L792" s="1">
        <v>0</v>
      </c>
      <c r="M792" s="1">
        <f t="shared" si="31"/>
        <v>10</v>
      </c>
      <c r="N792" s="11">
        <f t="shared" si="32"/>
        <v>10</v>
      </c>
      <c r="O792" s="9"/>
      <c r="P792" s="9"/>
      <c r="Q792" s="9"/>
      <c r="R792" s="9"/>
      <c r="S792" s="9"/>
      <c r="T792" s="9"/>
      <c r="U792" s="9"/>
    </row>
    <row r="793" spans="2:21" x14ac:dyDescent="0.2">
      <c r="B793" t="s">
        <v>282</v>
      </c>
      <c r="C793" t="s">
        <v>802</v>
      </c>
      <c r="D793" t="s">
        <v>97</v>
      </c>
      <c r="E793" s="11"/>
      <c r="F793" s="9"/>
      <c r="G793" s="10">
        <v>1</v>
      </c>
      <c r="H793" s="10">
        <v>1</v>
      </c>
      <c r="I793" s="10">
        <v>0</v>
      </c>
      <c r="J793" s="9"/>
      <c r="K793" s="9">
        <v>10</v>
      </c>
      <c r="L793" s="1">
        <v>0</v>
      </c>
      <c r="M793" s="1">
        <f t="shared" si="31"/>
        <v>10</v>
      </c>
      <c r="N793" s="11">
        <f t="shared" si="32"/>
        <v>10</v>
      </c>
      <c r="O793" s="9"/>
      <c r="P793" s="9"/>
      <c r="Q793" s="9"/>
      <c r="R793" s="9"/>
      <c r="S793" s="9"/>
      <c r="T793" s="9"/>
      <c r="U793" s="9"/>
    </row>
    <row r="794" spans="2:21" x14ac:dyDescent="0.2">
      <c r="B794" t="s">
        <v>282</v>
      </c>
      <c r="C794" t="s">
        <v>803</v>
      </c>
      <c r="D794" t="s">
        <v>97</v>
      </c>
      <c r="E794" s="11"/>
      <c r="F794" s="9"/>
      <c r="G794" s="10">
        <v>1</v>
      </c>
      <c r="H794" s="10">
        <v>1</v>
      </c>
      <c r="I794" s="10">
        <v>0</v>
      </c>
      <c r="J794" s="9"/>
      <c r="K794" s="9">
        <v>10</v>
      </c>
      <c r="L794" s="1">
        <v>0</v>
      </c>
      <c r="M794" s="1">
        <f t="shared" si="31"/>
        <v>10</v>
      </c>
      <c r="N794" s="11">
        <f t="shared" si="32"/>
        <v>10</v>
      </c>
      <c r="O794" s="9"/>
      <c r="P794" s="9"/>
      <c r="Q794" s="9"/>
      <c r="R794" s="9"/>
      <c r="S794" s="9"/>
      <c r="T794" s="9"/>
      <c r="U794" s="9"/>
    </row>
    <row r="795" spans="2:21" x14ac:dyDescent="0.2">
      <c r="B795" t="s">
        <v>282</v>
      </c>
      <c r="C795" t="s">
        <v>804</v>
      </c>
      <c r="D795" t="s">
        <v>97</v>
      </c>
      <c r="E795" s="11"/>
      <c r="F795" s="9"/>
      <c r="G795" s="10">
        <v>2</v>
      </c>
      <c r="H795" s="10">
        <v>2</v>
      </c>
      <c r="I795" s="10">
        <v>0</v>
      </c>
      <c r="J795" s="9"/>
      <c r="K795" s="9">
        <v>10</v>
      </c>
      <c r="L795" s="1">
        <v>0</v>
      </c>
      <c r="M795" s="1">
        <f t="shared" si="31"/>
        <v>10</v>
      </c>
      <c r="N795" s="11">
        <f t="shared" si="32"/>
        <v>20</v>
      </c>
      <c r="O795" s="9"/>
      <c r="P795" s="9"/>
      <c r="Q795" s="9"/>
      <c r="R795" s="9"/>
      <c r="S795" s="9"/>
      <c r="T795" s="9"/>
      <c r="U795" s="9"/>
    </row>
    <row r="796" spans="2:21" x14ac:dyDescent="0.2">
      <c r="B796" t="s">
        <v>285</v>
      </c>
      <c r="C796" t="s">
        <v>805</v>
      </c>
      <c r="D796" t="s">
        <v>91</v>
      </c>
      <c r="E796" s="11"/>
      <c r="F796" s="9"/>
      <c r="G796" s="10">
        <v>1</v>
      </c>
      <c r="H796" s="10">
        <v>1</v>
      </c>
      <c r="I796" s="10">
        <v>0</v>
      </c>
      <c r="J796" s="9"/>
      <c r="K796" s="9">
        <v>10</v>
      </c>
      <c r="L796" s="1">
        <v>0</v>
      </c>
      <c r="M796" s="1">
        <f t="shared" si="31"/>
        <v>10</v>
      </c>
      <c r="N796" s="11">
        <f t="shared" si="32"/>
        <v>10</v>
      </c>
      <c r="O796" s="9"/>
      <c r="P796" s="9"/>
      <c r="Q796" s="9"/>
      <c r="R796" s="9"/>
      <c r="S796" s="9"/>
      <c r="T796" s="9"/>
      <c r="U796" s="9"/>
    </row>
    <row r="797" spans="2:21" x14ac:dyDescent="0.2">
      <c r="B797" t="s">
        <v>285</v>
      </c>
      <c r="C797" t="s">
        <v>806</v>
      </c>
      <c r="D797" t="s">
        <v>91</v>
      </c>
      <c r="E797" s="11"/>
      <c r="F797" s="9"/>
      <c r="G797" s="10">
        <v>1</v>
      </c>
      <c r="H797" s="10">
        <v>1</v>
      </c>
      <c r="I797" s="10">
        <v>0</v>
      </c>
      <c r="J797" s="9"/>
      <c r="K797" s="9">
        <v>10</v>
      </c>
      <c r="L797" s="1">
        <v>0</v>
      </c>
      <c r="M797" s="1">
        <f t="shared" si="31"/>
        <v>10</v>
      </c>
      <c r="N797" s="11">
        <f t="shared" si="32"/>
        <v>10</v>
      </c>
      <c r="O797" s="9"/>
      <c r="P797" s="9"/>
      <c r="Q797" s="9"/>
      <c r="R797" s="9"/>
      <c r="S797" s="9"/>
      <c r="T797" s="9"/>
      <c r="U797" s="9"/>
    </row>
    <row r="798" spans="2:21" x14ac:dyDescent="0.2">
      <c r="B798" t="s">
        <v>282</v>
      </c>
      <c r="C798" t="s">
        <v>807</v>
      </c>
      <c r="D798" t="s">
        <v>97</v>
      </c>
      <c r="E798" s="11"/>
      <c r="F798" s="9"/>
      <c r="G798" s="10">
        <v>1</v>
      </c>
      <c r="H798" s="10">
        <v>1</v>
      </c>
      <c r="I798" s="10">
        <v>0</v>
      </c>
      <c r="J798" s="9"/>
      <c r="K798" s="9">
        <v>10</v>
      </c>
      <c r="L798" s="1">
        <v>0</v>
      </c>
      <c r="M798" s="1">
        <f t="shared" si="31"/>
        <v>10</v>
      </c>
      <c r="N798" s="11">
        <f t="shared" si="32"/>
        <v>10</v>
      </c>
      <c r="O798" s="9"/>
      <c r="P798" s="9"/>
      <c r="Q798" s="9"/>
      <c r="R798" s="9"/>
      <c r="S798" s="9"/>
      <c r="T798" s="9"/>
      <c r="U798" s="9"/>
    </row>
    <row r="799" spans="2:21" x14ac:dyDescent="0.2">
      <c r="B799" t="s">
        <v>282</v>
      </c>
      <c r="C799" t="s">
        <v>808</v>
      </c>
      <c r="D799" t="s">
        <v>97</v>
      </c>
      <c r="E799" s="11"/>
      <c r="F799" s="9"/>
      <c r="G799" s="10">
        <v>1</v>
      </c>
      <c r="H799" s="10">
        <v>1</v>
      </c>
      <c r="I799" s="10">
        <v>0</v>
      </c>
      <c r="J799" s="9"/>
      <c r="K799" s="9">
        <v>10</v>
      </c>
      <c r="L799" s="1">
        <v>0</v>
      </c>
      <c r="M799" s="1">
        <f t="shared" si="31"/>
        <v>10</v>
      </c>
      <c r="N799" s="11">
        <f t="shared" si="32"/>
        <v>10</v>
      </c>
      <c r="O799" s="9"/>
      <c r="P799" s="9"/>
      <c r="Q799" s="9"/>
      <c r="R799" s="9"/>
      <c r="S799" s="9"/>
      <c r="T799" s="9"/>
      <c r="U799" s="9"/>
    </row>
    <row r="800" spans="2:21" x14ac:dyDescent="0.2">
      <c r="B800" t="s">
        <v>285</v>
      </c>
      <c r="C800" t="s">
        <v>809</v>
      </c>
      <c r="D800" t="s">
        <v>91</v>
      </c>
      <c r="E800" s="11"/>
      <c r="F800" s="9"/>
      <c r="G800" s="10">
        <v>1</v>
      </c>
      <c r="H800" s="10">
        <v>1</v>
      </c>
      <c r="I800" s="10">
        <v>0</v>
      </c>
      <c r="J800" s="9"/>
      <c r="K800" s="9">
        <v>10</v>
      </c>
      <c r="L800" s="1">
        <v>0</v>
      </c>
      <c r="M800" s="1">
        <f t="shared" si="31"/>
        <v>10</v>
      </c>
      <c r="N800" s="11">
        <f t="shared" si="32"/>
        <v>10</v>
      </c>
      <c r="O800" s="9"/>
      <c r="P800" s="9"/>
      <c r="Q800" s="9"/>
      <c r="R800" s="9"/>
      <c r="S800" s="9"/>
      <c r="T800" s="9"/>
      <c r="U800" s="9"/>
    </row>
    <row r="801" spans="2:21" x14ac:dyDescent="0.2">
      <c r="B801" t="s">
        <v>810</v>
      </c>
      <c r="C801" t="s">
        <v>811</v>
      </c>
      <c r="D801" t="s">
        <v>102</v>
      </c>
      <c r="F801" s="9"/>
      <c r="G801" s="10">
        <v>1</v>
      </c>
      <c r="H801" s="10">
        <v>1</v>
      </c>
      <c r="I801" s="10">
        <v>0</v>
      </c>
      <c r="J801" s="9"/>
      <c r="K801" s="9">
        <v>10</v>
      </c>
      <c r="L801" s="1">
        <v>0</v>
      </c>
      <c r="M801" s="1">
        <f t="shared" si="31"/>
        <v>10</v>
      </c>
      <c r="N801" s="11">
        <f t="shared" si="32"/>
        <v>10</v>
      </c>
      <c r="O801" s="9"/>
      <c r="P801" s="9"/>
      <c r="Q801" s="9"/>
      <c r="R801" s="9"/>
      <c r="S801" s="9"/>
      <c r="T801" s="9"/>
      <c r="U801" s="9"/>
    </row>
    <row r="802" spans="2:21" x14ac:dyDescent="0.2">
      <c r="B802" t="s">
        <v>812</v>
      </c>
      <c r="C802" t="s">
        <v>811</v>
      </c>
      <c r="D802" t="s">
        <v>257</v>
      </c>
      <c r="F802" s="9"/>
      <c r="G802" s="10">
        <v>1</v>
      </c>
      <c r="H802" s="10">
        <v>1</v>
      </c>
      <c r="I802" s="10">
        <v>0</v>
      </c>
      <c r="J802" s="9"/>
      <c r="K802" s="9">
        <v>10</v>
      </c>
      <c r="L802" s="1">
        <v>0</v>
      </c>
      <c r="M802" s="1">
        <f t="shared" si="31"/>
        <v>10</v>
      </c>
      <c r="N802" s="11">
        <f t="shared" si="32"/>
        <v>10</v>
      </c>
      <c r="O802" s="9"/>
      <c r="P802" s="9"/>
      <c r="Q802" s="9"/>
      <c r="R802" s="9"/>
      <c r="S802" s="9"/>
      <c r="T802" s="9"/>
      <c r="U802" s="9"/>
    </row>
    <row r="803" spans="2:21" x14ac:dyDescent="0.2">
      <c r="B803" t="s">
        <v>813</v>
      </c>
      <c r="C803" t="s">
        <v>814</v>
      </c>
      <c r="D803" t="s">
        <v>257</v>
      </c>
      <c r="F803" s="9"/>
      <c r="G803" s="10">
        <v>1</v>
      </c>
      <c r="H803" s="10">
        <v>1</v>
      </c>
      <c r="I803" s="10">
        <v>0</v>
      </c>
      <c r="J803" s="9"/>
      <c r="K803" s="9">
        <v>10</v>
      </c>
      <c r="L803" s="1">
        <v>0</v>
      </c>
      <c r="M803" s="1">
        <f t="shared" si="31"/>
        <v>10</v>
      </c>
      <c r="N803" s="11">
        <f t="shared" si="32"/>
        <v>10</v>
      </c>
      <c r="O803" s="9"/>
      <c r="P803" s="9"/>
      <c r="Q803" s="9"/>
      <c r="R803" s="9"/>
      <c r="S803" s="9"/>
      <c r="T803" s="9"/>
      <c r="U803" s="9"/>
    </row>
    <row r="804" spans="2:21" x14ac:dyDescent="0.2">
      <c r="B804" t="s">
        <v>282</v>
      </c>
      <c r="C804" t="s">
        <v>802</v>
      </c>
      <c r="D804" t="s">
        <v>97</v>
      </c>
      <c r="E804" s="11"/>
      <c r="F804" s="9"/>
      <c r="G804" s="10">
        <v>1</v>
      </c>
      <c r="H804" s="10">
        <v>1</v>
      </c>
      <c r="I804" s="10">
        <v>0</v>
      </c>
      <c r="J804" s="9"/>
      <c r="K804" s="9">
        <v>10</v>
      </c>
      <c r="L804" s="1">
        <v>0</v>
      </c>
      <c r="M804" s="1">
        <f t="shared" si="31"/>
        <v>10</v>
      </c>
      <c r="N804" s="11">
        <f t="shared" si="32"/>
        <v>10</v>
      </c>
      <c r="O804" s="9"/>
      <c r="P804" s="9"/>
      <c r="Q804" s="9"/>
      <c r="R804" s="9"/>
      <c r="S804" s="9"/>
      <c r="T804" s="9"/>
      <c r="U804" s="9"/>
    </row>
    <row r="805" spans="2:21" x14ac:dyDescent="0.2">
      <c r="B805" t="s">
        <v>282</v>
      </c>
      <c r="C805" t="s">
        <v>803</v>
      </c>
      <c r="D805" t="s">
        <v>97</v>
      </c>
      <c r="E805" s="11"/>
      <c r="F805" s="9"/>
      <c r="G805" s="10">
        <v>1</v>
      </c>
      <c r="H805" s="10">
        <v>1</v>
      </c>
      <c r="I805" s="10">
        <v>0</v>
      </c>
      <c r="J805" s="9"/>
      <c r="K805" s="9">
        <v>10</v>
      </c>
      <c r="L805" s="1">
        <v>0</v>
      </c>
      <c r="M805" s="1">
        <f t="shared" si="31"/>
        <v>10</v>
      </c>
      <c r="N805" s="11">
        <f t="shared" si="32"/>
        <v>10</v>
      </c>
      <c r="O805" s="9"/>
      <c r="P805" s="9"/>
      <c r="Q805" s="9"/>
      <c r="R805" s="9"/>
      <c r="S805" s="9"/>
      <c r="T805" s="9"/>
      <c r="U805" s="9"/>
    </row>
    <row r="806" spans="2:21" x14ac:dyDescent="0.2">
      <c r="B806" t="s">
        <v>282</v>
      </c>
      <c r="C806" t="s">
        <v>804</v>
      </c>
      <c r="D806" t="s">
        <v>97</v>
      </c>
      <c r="E806" s="11"/>
      <c r="F806" s="9"/>
      <c r="G806" s="10">
        <v>2</v>
      </c>
      <c r="H806" s="10">
        <v>2</v>
      </c>
      <c r="I806" s="10">
        <v>0</v>
      </c>
      <c r="J806" s="9"/>
      <c r="K806" s="9">
        <v>10</v>
      </c>
      <c r="L806" s="1">
        <v>0</v>
      </c>
      <c r="M806" s="1">
        <f t="shared" si="31"/>
        <v>10</v>
      </c>
      <c r="N806" s="11">
        <f t="shared" si="32"/>
        <v>20</v>
      </c>
      <c r="O806" s="9"/>
      <c r="P806" s="9"/>
      <c r="Q806" s="9"/>
      <c r="R806" s="9"/>
      <c r="S806" s="9"/>
      <c r="T806" s="9"/>
      <c r="U806" s="9"/>
    </row>
    <row r="807" spans="2:21" x14ac:dyDescent="0.2">
      <c r="B807" t="s">
        <v>285</v>
      </c>
      <c r="C807" t="s">
        <v>805</v>
      </c>
      <c r="D807" t="s">
        <v>91</v>
      </c>
      <c r="E807" s="11"/>
      <c r="F807" s="9"/>
      <c r="G807" s="10">
        <v>1</v>
      </c>
      <c r="H807" s="10">
        <v>1</v>
      </c>
      <c r="I807" s="10">
        <v>0</v>
      </c>
      <c r="J807" s="9"/>
      <c r="K807" s="9">
        <v>10</v>
      </c>
      <c r="L807" s="1">
        <v>0</v>
      </c>
      <c r="M807" s="1">
        <f t="shared" si="31"/>
        <v>10</v>
      </c>
      <c r="N807" s="11">
        <f t="shared" si="32"/>
        <v>10</v>
      </c>
      <c r="O807" s="9"/>
      <c r="P807" s="9"/>
      <c r="Q807" s="9"/>
      <c r="R807" s="9"/>
      <c r="S807" s="9"/>
      <c r="T807" s="9"/>
      <c r="U807" s="9"/>
    </row>
    <row r="808" spans="2:21" x14ac:dyDescent="0.2">
      <c r="B808" t="s">
        <v>285</v>
      </c>
      <c r="C808" t="s">
        <v>806</v>
      </c>
      <c r="D808" t="s">
        <v>91</v>
      </c>
      <c r="E808" s="11"/>
      <c r="F808" s="9"/>
      <c r="G808" s="10">
        <v>1</v>
      </c>
      <c r="H808" s="10">
        <v>1</v>
      </c>
      <c r="I808" s="10">
        <v>0</v>
      </c>
      <c r="J808" s="9"/>
      <c r="K808" s="9">
        <v>10</v>
      </c>
      <c r="L808" s="1">
        <v>0</v>
      </c>
      <c r="M808" s="1">
        <f t="shared" si="31"/>
        <v>10</v>
      </c>
      <c r="N808" s="11">
        <f t="shared" si="32"/>
        <v>10</v>
      </c>
      <c r="O808" s="9"/>
      <c r="P808" s="9"/>
      <c r="Q808" s="9"/>
      <c r="R808" s="9"/>
      <c r="S808" s="9"/>
      <c r="T808" s="9"/>
      <c r="U808" s="9"/>
    </row>
    <row r="809" spans="2:21" x14ac:dyDescent="0.2">
      <c r="B809" t="s">
        <v>282</v>
      </c>
      <c r="C809" t="s">
        <v>807</v>
      </c>
      <c r="D809" t="s">
        <v>97</v>
      </c>
      <c r="E809" s="11"/>
      <c r="F809" s="9"/>
      <c r="G809" s="10">
        <v>1</v>
      </c>
      <c r="H809" s="10">
        <v>1</v>
      </c>
      <c r="I809" s="10">
        <v>0</v>
      </c>
      <c r="J809" s="9"/>
      <c r="K809" s="9">
        <v>10</v>
      </c>
      <c r="L809" s="1">
        <v>0</v>
      </c>
      <c r="M809" s="1">
        <f t="shared" si="31"/>
        <v>10</v>
      </c>
      <c r="N809" s="11">
        <f t="shared" si="32"/>
        <v>10</v>
      </c>
      <c r="O809" s="9"/>
      <c r="P809" s="9"/>
      <c r="Q809" s="9"/>
      <c r="R809" s="9"/>
      <c r="S809" s="9"/>
      <c r="T809" s="9"/>
      <c r="U809" s="9"/>
    </row>
    <row r="810" spans="2:21" x14ac:dyDescent="0.2">
      <c r="B810" t="s">
        <v>282</v>
      </c>
      <c r="C810" t="s">
        <v>808</v>
      </c>
      <c r="D810" t="s">
        <v>97</v>
      </c>
      <c r="E810" s="11"/>
      <c r="F810" s="9"/>
      <c r="G810" s="10">
        <v>1</v>
      </c>
      <c r="H810" s="10">
        <v>1</v>
      </c>
      <c r="I810" s="10">
        <v>0</v>
      </c>
      <c r="J810" s="9"/>
      <c r="K810" s="9">
        <v>10</v>
      </c>
      <c r="L810" s="1">
        <v>0</v>
      </c>
      <c r="M810" s="1">
        <f t="shared" si="31"/>
        <v>10</v>
      </c>
      <c r="N810" s="11">
        <f t="shared" si="32"/>
        <v>10</v>
      </c>
      <c r="O810" s="9"/>
      <c r="P810" s="9"/>
      <c r="Q810" s="9"/>
      <c r="R810" s="9"/>
      <c r="S810" s="9"/>
      <c r="T810" s="9"/>
      <c r="U810" s="9"/>
    </row>
    <row r="811" spans="2:21" x14ac:dyDescent="0.2">
      <c r="B811" t="s">
        <v>285</v>
      </c>
      <c r="C811" t="s">
        <v>809</v>
      </c>
      <c r="D811" t="s">
        <v>91</v>
      </c>
      <c r="E811" s="11"/>
      <c r="F811" s="9"/>
      <c r="G811" s="10">
        <v>1</v>
      </c>
      <c r="H811" s="10">
        <v>1</v>
      </c>
      <c r="I811" s="10">
        <v>0</v>
      </c>
      <c r="J811" s="9"/>
      <c r="K811" s="9">
        <v>10</v>
      </c>
      <c r="L811" s="1">
        <v>0</v>
      </c>
      <c r="M811" s="1">
        <f t="shared" si="31"/>
        <v>10</v>
      </c>
      <c r="N811" s="11">
        <f t="shared" si="32"/>
        <v>10</v>
      </c>
      <c r="O811" s="9"/>
      <c r="P811" s="9"/>
      <c r="Q811" s="9"/>
      <c r="R811" s="9"/>
      <c r="S811" s="9"/>
      <c r="T811" s="9"/>
      <c r="U811" s="9"/>
    </row>
    <row r="812" spans="2:21" x14ac:dyDescent="0.2">
      <c r="B812" t="s">
        <v>90</v>
      </c>
      <c r="C812" t="s">
        <v>815</v>
      </c>
      <c r="D812" t="s">
        <v>95</v>
      </c>
      <c r="E812" s="11"/>
      <c r="F812" s="9"/>
      <c r="G812" s="10">
        <v>1</v>
      </c>
      <c r="H812" s="10">
        <v>1</v>
      </c>
      <c r="I812" s="10">
        <v>0</v>
      </c>
      <c r="J812" s="9"/>
      <c r="K812" s="9">
        <v>10</v>
      </c>
      <c r="L812" s="1">
        <v>0</v>
      </c>
      <c r="M812" s="1">
        <f t="shared" si="31"/>
        <v>10</v>
      </c>
      <c r="N812" s="11">
        <f t="shared" si="32"/>
        <v>10</v>
      </c>
      <c r="O812" s="9"/>
      <c r="P812" s="9"/>
      <c r="Q812" s="9"/>
      <c r="R812" s="9"/>
      <c r="S812" s="9"/>
      <c r="T812" s="9"/>
      <c r="U812" s="9"/>
    </row>
    <row r="813" spans="2:21" x14ac:dyDescent="0.2">
      <c r="B813" t="s">
        <v>90</v>
      </c>
      <c r="C813" t="s">
        <v>815</v>
      </c>
      <c r="D813" t="s">
        <v>91</v>
      </c>
      <c r="E813" s="11"/>
      <c r="F813" s="9"/>
      <c r="G813" s="10">
        <v>1</v>
      </c>
      <c r="H813" s="10">
        <v>1</v>
      </c>
      <c r="I813" s="10">
        <v>0</v>
      </c>
      <c r="J813" s="9"/>
      <c r="K813" s="9">
        <v>10</v>
      </c>
      <c r="L813" s="1">
        <v>0</v>
      </c>
      <c r="M813" s="1">
        <f t="shared" si="31"/>
        <v>10</v>
      </c>
      <c r="N813" s="11">
        <f t="shared" si="32"/>
        <v>10</v>
      </c>
      <c r="O813" s="9"/>
      <c r="P813" s="9"/>
      <c r="Q813" s="9"/>
      <c r="R813" s="9"/>
      <c r="S813" s="9"/>
      <c r="T813" s="9"/>
      <c r="U813" s="9"/>
    </row>
    <row r="814" spans="2:21" x14ac:dyDescent="0.2">
      <c r="B814" t="s">
        <v>725</v>
      </c>
      <c r="C814" t="s">
        <v>816</v>
      </c>
      <c r="D814" t="s">
        <v>257</v>
      </c>
      <c r="E814" s="11"/>
      <c r="F814" s="9"/>
      <c r="G814" s="10">
        <v>1</v>
      </c>
      <c r="H814" s="10">
        <v>1</v>
      </c>
      <c r="I814" s="10">
        <v>0</v>
      </c>
      <c r="J814" s="9"/>
      <c r="K814" s="9">
        <v>10</v>
      </c>
      <c r="L814" s="1">
        <v>0</v>
      </c>
      <c r="M814" s="1">
        <f t="shared" si="31"/>
        <v>10</v>
      </c>
      <c r="N814" s="11">
        <f t="shared" si="32"/>
        <v>10</v>
      </c>
      <c r="O814" s="9"/>
      <c r="P814" s="9"/>
      <c r="Q814" s="9"/>
      <c r="R814" s="9"/>
      <c r="S814" s="9"/>
      <c r="T814" s="9"/>
      <c r="U814" s="9"/>
    </row>
    <row r="815" spans="2:21" x14ac:dyDescent="0.2">
      <c r="B815" t="s">
        <v>90</v>
      </c>
      <c r="C815" t="s">
        <v>817</v>
      </c>
      <c r="D815" t="s">
        <v>102</v>
      </c>
      <c r="E815" s="11"/>
      <c r="F815" s="9"/>
      <c r="G815" s="10">
        <v>1</v>
      </c>
      <c r="H815" s="10">
        <v>1</v>
      </c>
      <c r="I815" s="10">
        <v>0</v>
      </c>
      <c r="J815" s="9"/>
      <c r="K815" s="9">
        <v>10</v>
      </c>
      <c r="L815" s="1">
        <v>0</v>
      </c>
      <c r="M815" s="1">
        <f t="shared" si="31"/>
        <v>10</v>
      </c>
      <c r="N815" s="11">
        <f t="shared" si="32"/>
        <v>10</v>
      </c>
      <c r="O815" s="9"/>
      <c r="P815" s="9"/>
      <c r="Q815" s="9"/>
      <c r="R815" s="9"/>
      <c r="S815" s="9"/>
      <c r="T815" s="9"/>
      <c r="U815" s="9"/>
    </row>
    <row r="816" spans="2:21" x14ac:dyDescent="0.2">
      <c r="B816" t="s">
        <v>90</v>
      </c>
      <c r="C816" t="s">
        <v>492</v>
      </c>
      <c r="D816" t="s">
        <v>102</v>
      </c>
      <c r="E816" s="11"/>
      <c r="F816" s="9"/>
      <c r="G816" s="10">
        <v>1</v>
      </c>
      <c r="H816" s="10">
        <v>1</v>
      </c>
      <c r="I816" s="10">
        <v>0</v>
      </c>
      <c r="J816" s="9"/>
      <c r="K816" s="9">
        <v>10</v>
      </c>
      <c r="L816" s="1">
        <v>0</v>
      </c>
      <c r="M816" s="1">
        <f t="shared" si="31"/>
        <v>10</v>
      </c>
      <c r="N816" s="11">
        <f t="shared" si="32"/>
        <v>10</v>
      </c>
      <c r="O816" s="9"/>
      <c r="P816" s="9"/>
      <c r="Q816" s="9"/>
      <c r="R816" s="9"/>
      <c r="S816" s="9"/>
      <c r="T816" s="9"/>
      <c r="U816" s="9"/>
    </row>
    <row r="817" spans="2:21" x14ac:dyDescent="0.2">
      <c r="B817" t="s">
        <v>90</v>
      </c>
      <c r="C817" t="s">
        <v>250</v>
      </c>
      <c r="D817" t="s">
        <v>95</v>
      </c>
      <c r="E817" s="11"/>
      <c r="F817" s="9"/>
      <c r="G817" s="10">
        <v>1</v>
      </c>
      <c r="H817" s="10">
        <v>1</v>
      </c>
      <c r="I817" s="10">
        <v>0</v>
      </c>
      <c r="J817" s="9"/>
      <c r="K817" s="9">
        <v>10</v>
      </c>
      <c r="L817" s="1">
        <v>0</v>
      </c>
      <c r="M817" s="1">
        <f t="shared" si="31"/>
        <v>10</v>
      </c>
      <c r="N817" s="11">
        <f t="shared" si="32"/>
        <v>10</v>
      </c>
      <c r="O817" s="9"/>
      <c r="P817" s="9"/>
      <c r="Q817" s="9"/>
      <c r="R817" s="9"/>
      <c r="S817" s="9"/>
      <c r="T817" s="9"/>
      <c r="U817" s="9"/>
    </row>
    <row r="818" spans="2:21" x14ac:dyDescent="0.2">
      <c r="B818" t="s">
        <v>90</v>
      </c>
      <c r="C818" t="s">
        <v>818</v>
      </c>
      <c r="D818" t="s">
        <v>95</v>
      </c>
      <c r="E818" s="11"/>
      <c r="F818" s="9"/>
      <c r="G818" s="10">
        <v>1</v>
      </c>
      <c r="H818" s="10">
        <v>1</v>
      </c>
      <c r="I818" s="10">
        <v>0</v>
      </c>
      <c r="J818" s="9"/>
      <c r="K818" s="9">
        <v>10</v>
      </c>
      <c r="L818" s="1">
        <v>0</v>
      </c>
      <c r="M818" s="1">
        <f t="shared" si="31"/>
        <v>10</v>
      </c>
      <c r="N818" s="11">
        <f t="shared" si="32"/>
        <v>10</v>
      </c>
      <c r="O818" s="9"/>
      <c r="P818" s="9"/>
      <c r="Q818" s="9"/>
      <c r="R818" s="9"/>
      <c r="S818" s="9"/>
      <c r="T818" s="9"/>
      <c r="U818" s="9"/>
    </row>
    <row r="819" spans="2:21" x14ac:dyDescent="0.2">
      <c r="B819" t="s">
        <v>90</v>
      </c>
      <c r="C819" t="s">
        <v>819</v>
      </c>
      <c r="D819" t="s">
        <v>239</v>
      </c>
      <c r="E819" s="11"/>
      <c r="F819" s="9"/>
      <c r="G819" s="10">
        <v>1</v>
      </c>
      <c r="H819" s="10">
        <v>1</v>
      </c>
      <c r="I819" s="10">
        <v>0</v>
      </c>
      <c r="J819" s="9"/>
      <c r="K819" s="9">
        <v>10</v>
      </c>
      <c r="L819" s="1">
        <v>0</v>
      </c>
      <c r="M819" s="1">
        <f t="shared" si="31"/>
        <v>10</v>
      </c>
      <c r="N819" s="11">
        <f t="shared" si="32"/>
        <v>10</v>
      </c>
      <c r="O819" s="9"/>
      <c r="P819" s="9"/>
      <c r="Q819" s="9"/>
      <c r="R819" s="9"/>
      <c r="S819" s="9"/>
      <c r="T819" s="9"/>
      <c r="U819" s="9"/>
    </row>
    <row r="820" spans="2:21" x14ac:dyDescent="0.2">
      <c r="B820" t="s">
        <v>90</v>
      </c>
      <c r="C820" t="s">
        <v>820</v>
      </c>
      <c r="D820" t="s">
        <v>91</v>
      </c>
      <c r="E820" s="11"/>
      <c r="F820" s="9"/>
      <c r="G820" s="10">
        <v>1</v>
      </c>
      <c r="H820" s="10">
        <v>1</v>
      </c>
      <c r="I820" s="10">
        <v>0</v>
      </c>
      <c r="J820" s="9"/>
      <c r="K820" s="9">
        <v>10</v>
      </c>
      <c r="L820" s="1">
        <v>0</v>
      </c>
      <c r="M820" s="1">
        <f t="shared" si="31"/>
        <v>10</v>
      </c>
      <c r="N820" s="11">
        <f t="shared" si="32"/>
        <v>10</v>
      </c>
      <c r="O820" s="9"/>
      <c r="P820" s="9"/>
      <c r="Q820" s="9"/>
      <c r="R820" s="9"/>
      <c r="S820" s="9"/>
      <c r="T820" s="9"/>
      <c r="U820" s="9"/>
    </row>
    <row r="821" spans="2:21" x14ac:dyDescent="0.2">
      <c r="B821" t="s">
        <v>90</v>
      </c>
      <c r="C821" t="s">
        <v>821</v>
      </c>
      <c r="D821" t="s">
        <v>91</v>
      </c>
      <c r="E821" s="11"/>
      <c r="F821" s="9"/>
      <c r="G821" s="10">
        <v>1</v>
      </c>
      <c r="H821" s="10">
        <v>1</v>
      </c>
      <c r="I821" s="10">
        <v>0</v>
      </c>
      <c r="J821" s="9"/>
      <c r="K821" s="9">
        <v>10</v>
      </c>
      <c r="L821" s="1">
        <v>0</v>
      </c>
      <c r="M821" s="1">
        <f t="shared" si="31"/>
        <v>10</v>
      </c>
      <c r="N821" s="11">
        <f t="shared" si="32"/>
        <v>10</v>
      </c>
      <c r="O821" s="9"/>
      <c r="P821" s="9"/>
      <c r="Q821" s="9"/>
      <c r="R821" s="9"/>
      <c r="S821" s="9"/>
      <c r="T821" s="9"/>
      <c r="U821" s="9"/>
    </row>
    <row r="822" spans="2:21" x14ac:dyDescent="0.2">
      <c r="B822" t="s">
        <v>90</v>
      </c>
      <c r="C822" t="s">
        <v>818</v>
      </c>
      <c r="D822" t="s">
        <v>91</v>
      </c>
      <c r="E822" s="11"/>
      <c r="F822" s="9"/>
      <c r="G822" s="10">
        <v>1</v>
      </c>
      <c r="H822" s="10">
        <v>0</v>
      </c>
      <c r="I822" s="10">
        <v>0</v>
      </c>
      <c r="J822" s="9"/>
      <c r="K822" s="9">
        <v>10</v>
      </c>
      <c r="L822" s="1">
        <v>0</v>
      </c>
      <c r="M822" s="1">
        <f t="shared" si="31"/>
        <v>10</v>
      </c>
      <c r="N822" s="11">
        <f t="shared" si="32"/>
        <v>10</v>
      </c>
      <c r="O822" s="9"/>
      <c r="P822" s="9"/>
      <c r="Q822" s="9"/>
      <c r="R822" s="9"/>
      <c r="S822" s="9"/>
      <c r="T822" s="9"/>
      <c r="U822" s="9"/>
    </row>
    <row r="823" spans="2:21" x14ac:dyDescent="0.2">
      <c r="B823" t="s">
        <v>90</v>
      </c>
      <c r="C823" t="s">
        <v>218</v>
      </c>
      <c r="D823" t="s">
        <v>91</v>
      </c>
      <c r="E823" s="11"/>
      <c r="F823" s="9"/>
      <c r="G823" s="10">
        <v>2</v>
      </c>
      <c r="H823" s="10">
        <v>2</v>
      </c>
      <c r="I823" s="10">
        <v>0</v>
      </c>
      <c r="J823" s="9"/>
      <c r="K823" s="9">
        <v>10</v>
      </c>
      <c r="L823" s="1">
        <v>0</v>
      </c>
      <c r="M823" s="1">
        <f t="shared" si="31"/>
        <v>10</v>
      </c>
      <c r="N823" s="11">
        <f t="shared" si="32"/>
        <v>20</v>
      </c>
      <c r="O823" s="9"/>
      <c r="P823" s="9"/>
      <c r="Q823" s="9"/>
      <c r="R823" s="9"/>
      <c r="S823" s="9"/>
      <c r="T823" s="9"/>
      <c r="U823" s="9"/>
    </row>
    <row r="824" spans="2:21" x14ac:dyDescent="0.2">
      <c r="B824" t="s">
        <v>90</v>
      </c>
      <c r="C824" t="s">
        <v>822</v>
      </c>
      <c r="D824" t="s">
        <v>91</v>
      </c>
      <c r="E824" s="11"/>
      <c r="F824" s="9"/>
      <c r="G824" s="10">
        <v>2</v>
      </c>
      <c r="H824" s="10">
        <v>2</v>
      </c>
      <c r="I824" s="10">
        <v>0</v>
      </c>
      <c r="J824" s="9"/>
      <c r="K824" s="9">
        <v>10</v>
      </c>
      <c r="L824" s="1">
        <v>0</v>
      </c>
      <c r="M824" s="1">
        <f t="shared" si="31"/>
        <v>10</v>
      </c>
      <c r="N824" s="11">
        <f t="shared" si="32"/>
        <v>20</v>
      </c>
      <c r="O824" s="9"/>
      <c r="P824" s="9"/>
      <c r="Q824" s="9"/>
      <c r="R824" s="9"/>
      <c r="S824" s="9"/>
      <c r="T824" s="9"/>
      <c r="U824" s="9"/>
    </row>
    <row r="825" spans="2:21" x14ac:dyDescent="0.2">
      <c r="B825" t="s">
        <v>90</v>
      </c>
      <c r="C825" t="s">
        <v>823</v>
      </c>
      <c r="D825" t="s">
        <v>91</v>
      </c>
      <c r="E825" s="11"/>
      <c r="F825" s="9"/>
      <c r="G825" s="10">
        <v>1</v>
      </c>
      <c r="H825" s="10">
        <v>1</v>
      </c>
      <c r="I825" s="10">
        <v>0</v>
      </c>
      <c r="J825" s="9"/>
      <c r="K825" s="9">
        <v>10</v>
      </c>
      <c r="L825" s="1">
        <v>0</v>
      </c>
      <c r="M825" s="1">
        <f t="shared" ref="M825:M888" si="33">K825+L825</f>
        <v>10</v>
      </c>
      <c r="N825" s="11">
        <f t="shared" si="32"/>
        <v>10</v>
      </c>
      <c r="O825" s="9"/>
      <c r="P825" s="9"/>
      <c r="Q825" s="9"/>
      <c r="R825" s="9"/>
      <c r="S825" s="9"/>
      <c r="T825" s="9"/>
      <c r="U825" s="9"/>
    </row>
    <row r="826" spans="2:21" x14ac:dyDescent="0.2">
      <c r="B826" t="s">
        <v>90</v>
      </c>
      <c r="C826" t="s">
        <v>216</v>
      </c>
      <c r="D826" t="s">
        <v>91</v>
      </c>
      <c r="E826" s="11"/>
      <c r="F826" s="9"/>
      <c r="G826" s="10">
        <v>1</v>
      </c>
      <c r="H826" s="10">
        <v>1</v>
      </c>
      <c r="I826" s="10">
        <v>0</v>
      </c>
      <c r="J826" s="9"/>
      <c r="K826" s="9">
        <v>10</v>
      </c>
      <c r="L826" s="1">
        <v>0</v>
      </c>
      <c r="M826" s="1">
        <f t="shared" si="33"/>
        <v>10</v>
      </c>
      <c r="N826" s="11">
        <f t="shared" si="32"/>
        <v>10</v>
      </c>
      <c r="O826" s="9"/>
      <c r="P826" s="9"/>
      <c r="Q826" s="9"/>
      <c r="R826" s="9"/>
      <c r="S826" s="9"/>
      <c r="T826" s="9"/>
      <c r="U826" s="9"/>
    </row>
    <row r="827" spans="2:21" x14ac:dyDescent="0.2">
      <c r="B827" t="s">
        <v>90</v>
      </c>
      <c r="C827" t="s">
        <v>824</v>
      </c>
      <c r="D827" t="s">
        <v>91</v>
      </c>
      <c r="E827" s="11"/>
      <c r="F827" s="9"/>
      <c r="G827" s="10">
        <v>1</v>
      </c>
      <c r="H827" s="10">
        <v>1</v>
      </c>
      <c r="I827" s="10">
        <v>0</v>
      </c>
      <c r="J827" s="9"/>
      <c r="K827" s="9">
        <v>10</v>
      </c>
      <c r="L827" s="1">
        <v>0</v>
      </c>
      <c r="M827" s="1">
        <f t="shared" si="33"/>
        <v>10</v>
      </c>
      <c r="N827" s="11">
        <f t="shared" si="32"/>
        <v>10</v>
      </c>
      <c r="O827" s="9"/>
      <c r="P827" s="9"/>
      <c r="Q827" s="9"/>
      <c r="R827" s="9"/>
      <c r="S827" s="9"/>
      <c r="T827" s="9"/>
      <c r="U827" s="9"/>
    </row>
    <row r="828" spans="2:21" x14ac:dyDescent="0.2">
      <c r="B828" t="s">
        <v>90</v>
      </c>
      <c r="C828" t="s">
        <v>241</v>
      </c>
      <c r="D828" t="s">
        <v>91</v>
      </c>
      <c r="E828" s="11"/>
      <c r="F828" s="9"/>
      <c r="G828" s="10">
        <v>2</v>
      </c>
      <c r="H828" s="10">
        <v>2</v>
      </c>
      <c r="I828" s="10">
        <v>0</v>
      </c>
      <c r="J828" s="9"/>
      <c r="K828" s="9">
        <v>10</v>
      </c>
      <c r="L828" s="1">
        <v>0</v>
      </c>
      <c r="M828" s="1">
        <f t="shared" si="33"/>
        <v>10</v>
      </c>
      <c r="N828" s="11">
        <f t="shared" si="32"/>
        <v>20</v>
      </c>
      <c r="O828" s="9"/>
      <c r="P828" s="9"/>
      <c r="Q828" s="9"/>
      <c r="R828" s="9"/>
      <c r="S828" s="9"/>
      <c r="T828" s="9"/>
      <c r="U828" s="9"/>
    </row>
    <row r="829" spans="2:21" x14ac:dyDescent="0.2">
      <c r="B829" t="s">
        <v>725</v>
      </c>
      <c r="C829" t="s">
        <v>825</v>
      </c>
      <c r="D829" t="s">
        <v>97</v>
      </c>
      <c r="E829" s="11"/>
      <c r="F829" s="9"/>
      <c r="G829" s="10">
        <v>2</v>
      </c>
      <c r="H829" s="10">
        <v>2</v>
      </c>
      <c r="I829" s="10">
        <v>0</v>
      </c>
      <c r="J829" s="9"/>
      <c r="K829" s="9">
        <v>10</v>
      </c>
      <c r="L829" s="1">
        <v>0</v>
      </c>
      <c r="M829" s="1">
        <f t="shared" si="33"/>
        <v>10</v>
      </c>
      <c r="N829" s="11">
        <f t="shared" si="32"/>
        <v>20</v>
      </c>
      <c r="O829" s="9"/>
      <c r="P829" s="9"/>
      <c r="Q829" s="9"/>
      <c r="R829" s="9"/>
      <c r="S829" s="9"/>
      <c r="T829" s="9"/>
      <c r="U829" s="9"/>
    </row>
    <row r="830" spans="2:21" x14ac:dyDescent="0.2">
      <c r="B830" t="s">
        <v>725</v>
      </c>
      <c r="C830" t="s">
        <v>218</v>
      </c>
      <c r="D830" t="s">
        <v>97</v>
      </c>
      <c r="E830" s="11"/>
      <c r="F830" s="9"/>
      <c r="G830" s="10">
        <v>1</v>
      </c>
      <c r="H830" s="10">
        <v>1</v>
      </c>
      <c r="I830" s="10">
        <v>0</v>
      </c>
      <c r="J830" s="9"/>
      <c r="K830" s="9">
        <v>10</v>
      </c>
      <c r="L830" s="1">
        <v>0</v>
      </c>
      <c r="M830" s="1">
        <f t="shared" si="33"/>
        <v>10</v>
      </c>
      <c r="N830" s="11">
        <f t="shared" si="32"/>
        <v>10</v>
      </c>
      <c r="O830" s="9"/>
      <c r="P830" s="9"/>
      <c r="Q830" s="9"/>
      <c r="R830" s="9"/>
      <c r="S830" s="9"/>
      <c r="T830" s="9"/>
      <c r="U830" s="9"/>
    </row>
    <row r="831" spans="2:21" x14ac:dyDescent="0.2">
      <c r="B831" t="s">
        <v>725</v>
      </c>
      <c r="C831" t="s">
        <v>826</v>
      </c>
      <c r="D831" t="s">
        <v>257</v>
      </c>
      <c r="E831" s="11"/>
      <c r="F831" s="9"/>
      <c r="G831" s="10">
        <v>1</v>
      </c>
      <c r="H831" s="10">
        <v>1</v>
      </c>
      <c r="I831" s="10">
        <v>0</v>
      </c>
      <c r="J831" s="9"/>
      <c r="K831" s="9">
        <v>10</v>
      </c>
      <c r="L831" s="1">
        <v>0</v>
      </c>
      <c r="M831" s="1">
        <f t="shared" si="33"/>
        <v>10</v>
      </c>
      <c r="N831" s="11">
        <f t="shared" si="32"/>
        <v>10</v>
      </c>
      <c r="O831" s="9"/>
      <c r="P831" s="9"/>
      <c r="Q831" s="9"/>
      <c r="R831" s="9"/>
      <c r="S831" s="9"/>
      <c r="T831" s="9"/>
      <c r="U831" s="9"/>
    </row>
    <row r="832" spans="2:21" x14ac:dyDescent="0.2">
      <c r="B832" t="s">
        <v>725</v>
      </c>
      <c r="C832" t="s">
        <v>827</v>
      </c>
      <c r="D832" t="s">
        <v>97</v>
      </c>
      <c r="E832" s="11"/>
      <c r="F832" s="9"/>
      <c r="G832" s="10">
        <v>1</v>
      </c>
      <c r="H832" s="10">
        <v>1</v>
      </c>
      <c r="I832" s="10">
        <v>0</v>
      </c>
      <c r="J832" s="9"/>
      <c r="K832" s="9">
        <v>10</v>
      </c>
      <c r="L832" s="1">
        <v>0</v>
      </c>
      <c r="M832" s="1">
        <f t="shared" si="33"/>
        <v>10</v>
      </c>
      <c r="N832" s="11">
        <f t="shared" si="32"/>
        <v>10</v>
      </c>
      <c r="O832" s="9"/>
      <c r="P832" s="9"/>
      <c r="Q832" s="9"/>
      <c r="R832" s="9"/>
      <c r="S832" s="9"/>
      <c r="T832" s="9"/>
      <c r="U832" s="9"/>
    </row>
    <row r="833" spans="2:21" x14ac:dyDescent="0.2">
      <c r="B833" t="s">
        <v>725</v>
      </c>
      <c r="C833" t="s">
        <v>222</v>
      </c>
      <c r="D833" t="s">
        <v>97</v>
      </c>
      <c r="E833" s="11"/>
      <c r="F833" s="9"/>
      <c r="G833" s="10">
        <v>1</v>
      </c>
      <c r="H833" s="10">
        <v>1</v>
      </c>
      <c r="I833" s="10">
        <v>0</v>
      </c>
      <c r="J833" s="9"/>
      <c r="K833" s="9">
        <v>10</v>
      </c>
      <c r="L833" s="1">
        <v>0</v>
      </c>
      <c r="M833" s="1">
        <f t="shared" si="33"/>
        <v>10</v>
      </c>
      <c r="N833" s="11">
        <f t="shared" si="32"/>
        <v>10</v>
      </c>
      <c r="O833" s="9"/>
      <c r="P833" s="9"/>
      <c r="Q833" s="9"/>
      <c r="R833" s="9"/>
      <c r="S833" s="9"/>
      <c r="T833" s="9"/>
      <c r="U833" s="9"/>
    </row>
    <row r="834" spans="2:21" x14ac:dyDescent="0.2">
      <c r="B834" t="s">
        <v>725</v>
      </c>
      <c r="C834" t="s">
        <v>828</v>
      </c>
      <c r="D834" t="s">
        <v>97</v>
      </c>
      <c r="E834" s="11"/>
      <c r="F834" s="9"/>
      <c r="G834" s="10">
        <v>1</v>
      </c>
      <c r="H834" s="10">
        <v>1</v>
      </c>
      <c r="I834" s="10">
        <v>0</v>
      </c>
      <c r="J834" s="9"/>
      <c r="K834" s="9">
        <v>10</v>
      </c>
      <c r="L834" s="1">
        <v>0</v>
      </c>
      <c r="M834" s="1">
        <f t="shared" si="33"/>
        <v>10</v>
      </c>
      <c r="N834" s="11">
        <f t="shared" si="32"/>
        <v>10</v>
      </c>
      <c r="O834" s="9"/>
      <c r="P834" s="9"/>
      <c r="Q834" s="9"/>
      <c r="R834" s="9"/>
      <c r="S834" s="9"/>
      <c r="T834" s="9"/>
      <c r="U834" s="9"/>
    </row>
    <row r="835" spans="2:21" x14ac:dyDescent="0.2">
      <c r="B835" t="s">
        <v>725</v>
      </c>
      <c r="C835" t="s">
        <v>829</v>
      </c>
      <c r="D835" t="s">
        <v>257</v>
      </c>
      <c r="E835" s="11"/>
      <c r="F835" s="9"/>
      <c r="G835" s="10">
        <v>1</v>
      </c>
      <c r="H835" s="10">
        <v>1</v>
      </c>
      <c r="I835" s="10">
        <v>0</v>
      </c>
      <c r="J835" s="9"/>
      <c r="K835" s="9">
        <v>10</v>
      </c>
      <c r="L835" s="1">
        <v>0</v>
      </c>
      <c r="M835" s="1">
        <f t="shared" si="33"/>
        <v>10</v>
      </c>
      <c r="N835" s="11">
        <f t="shared" ref="N835:N898" si="34">G835*K835</f>
        <v>10</v>
      </c>
      <c r="O835" s="9"/>
      <c r="P835" s="9"/>
      <c r="Q835" s="9"/>
      <c r="R835" s="9"/>
      <c r="S835" s="9"/>
      <c r="T835" s="9"/>
      <c r="U835" s="9"/>
    </row>
    <row r="836" spans="2:21" x14ac:dyDescent="0.2">
      <c r="B836" t="s">
        <v>725</v>
      </c>
      <c r="C836" t="s">
        <v>830</v>
      </c>
      <c r="D836" t="s">
        <v>97</v>
      </c>
      <c r="E836" s="11"/>
      <c r="F836" s="9"/>
      <c r="G836" s="10">
        <v>1</v>
      </c>
      <c r="H836" s="10">
        <v>1</v>
      </c>
      <c r="I836" s="10">
        <v>0</v>
      </c>
      <c r="J836" s="9"/>
      <c r="K836" s="9">
        <v>10</v>
      </c>
      <c r="L836" s="1">
        <v>0</v>
      </c>
      <c r="M836" s="1">
        <f t="shared" si="33"/>
        <v>10</v>
      </c>
      <c r="N836" s="11">
        <f t="shared" si="34"/>
        <v>10</v>
      </c>
      <c r="O836" s="9"/>
      <c r="P836" s="9"/>
      <c r="Q836" s="9"/>
      <c r="R836" s="9"/>
      <c r="S836" s="9"/>
      <c r="T836" s="9"/>
      <c r="U836" s="9"/>
    </row>
    <row r="837" spans="2:21" x14ac:dyDescent="0.2">
      <c r="B837" t="s">
        <v>32</v>
      </c>
      <c r="C837" t="s">
        <v>831</v>
      </c>
      <c r="D837" t="s">
        <v>34</v>
      </c>
      <c r="E837" s="11"/>
      <c r="F837" s="9"/>
      <c r="G837" s="10">
        <v>1</v>
      </c>
      <c r="H837" s="10">
        <v>1</v>
      </c>
      <c r="I837" s="10">
        <v>0</v>
      </c>
      <c r="J837" s="9"/>
      <c r="K837" s="9">
        <v>10</v>
      </c>
      <c r="L837" s="1">
        <v>0</v>
      </c>
      <c r="M837" s="1">
        <f t="shared" si="33"/>
        <v>10</v>
      </c>
      <c r="N837" s="11">
        <f t="shared" si="34"/>
        <v>10</v>
      </c>
      <c r="O837" s="9"/>
      <c r="P837" s="9"/>
      <c r="Q837" s="9"/>
      <c r="R837" s="9"/>
      <c r="S837" s="9"/>
      <c r="T837" s="9"/>
      <c r="U837" s="9"/>
    </row>
    <row r="838" spans="2:21" x14ac:dyDescent="0.2">
      <c r="B838" t="s">
        <v>32</v>
      </c>
      <c r="C838" t="s">
        <v>832</v>
      </c>
      <c r="D838" t="s">
        <v>34</v>
      </c>
      <c r="E838" s="11"/>
      <c r="F838" s="9"/>
      <c r="G838" s="10">
        <v>1</v>
      </c>
      <c r="H838" s="10">
        <v>1</v>
      </c>
      <c r="I838" s="10">
        <v>0</v>
      </c>
      <c r="J838" s="9"/>
      <c r="K838" s="9">
        <v>10</v>
      </c>
      <c r="L838" s="1">
        <v>0</v>
      </c>
      <c r="M838" s="1">
        <f t="shared" si="33"/>
        <v>10</v>
      </c>
      <c r="N838" s="11">
        <f t="shared" si="34"/>
        <v>10</v>
      </c>
      <c r="O838" s="9"/>
      <c r="P838" s="9"/>
      <c r="Q838" s="9"/>
      <c r="R838" s="9"/>
      <c r="S838" s="9"/>
      <c r="T838" s="9"/>
      <c r="U838" s="9"/>
    </row>
    <row r="839" spans="2:21" x14ac:dyDescent="0.2">
      <c r="B839" t="s">
        <v>32</v>
      </c>
      <c r="C839" t="s">
        <v>833</v>
      </c>
      <c r="D839" t="s">
        <v>34</v>
      </c>
      <c r="E839" s="11"/>
      <c r="F839" s="9"/>
      <c r="G839" s="10">
        <v>1</v>
      </c>
      <c r="H839" s="10">
        <v>1</v>
      </c>
      <c r="I839" s="10">
        <v>0</v>
      </c>
      <c r="J839" s="9"/>
      <c r="K839" s="9">
        <v>10</v>
      </c>
      <c r="L839" s="1">
        <v>0</v>
      </c>
      <c r="M839" s="1">
        <f t="shared" si="33"/>
        <v>10</v>
      </c>
      <c r="N839" s="11">
        <f t="shared" si="34"/>
        <v>10</v>
      </c>
      <c r="O839" s="9"/>
      <c r="P839" s="9"/>
      <c r="Q839" s="9"/>
      <c r="R839" s="9"/>
      <c r="S839" s="9"/>
      <c r="T839" s="9"/>
      <c r="U839" s="9"/>
    </row>
    <row r="840" spans="2:21" x14ac:dyDescent="0.2">
      <c r="B840" t="s">
        <v>32</v>
      </c>
      <c r="C840" t="s">
        <v>216</v>
      </c>
      <c r="D840" t="s">
        <v>34</v>
      </c>
      <c r="E840" s="11"/>
      <c r="F840" s="9"/>
      <c r="G840" s="10">
        <v>2</v>
      </c>
      <c r="H840" s="10">
        <v>2</v>
      </c>
      <c r="I840" s="10">
        <v>0</v>
      </c>
      <c r="J840" s="9"/>
      <c r="K840" s="9">
        <v>10</v>
      </c>
      <c r="L840" s="1">
        <v>0</v>
      </c>
      <c r="M840" s="1">
        <f t="shared" si="33"/>
        <v>10</v>
      </c>
      <c r="N840" s="11">
        <f t="shared" si="34"/>
        <v>20</v>
      </c>
      <c r="O840" s="9"/>
      <c r="P840" s="9"/>
      <c r="Q840" s="9"/>
      <c r="R840" s="9"/>
      <c r="S840" s="9"/>
      <c r="T840" s="9"/>
      <c r="U840" s="9"/>
    </row>
    <row r="841" spans="2:21" x14ac:dyDescent="0.2">
      <c r="B841" t="s">
        <v>32</v>
      </c>
      <c r="C841" t="s">
        <v>825</v>
      </c>
      <c r="D841" t="s">
        <v>34</v>
      </c>
      <c r="E841" s="11"/>
      <c r="F841" s="9"/>
      <c r="G841" s="10">
        <v>2</v>
      </c>
      <c r="H841" s="10">
        <v>2</v>
      </c>
      <c r="I841" s="10">
        <v>0</v>
      </c>
      <c r="J841" s="9"/>
      <c r="K841" s="9">
        <v>10</v>
      </c>
      <c r="L841" s="1">
        <v>0</v>
      </c>
      <c r="M841" s="1">
        <f t="shared" si="33"/>
        <v>10</v>
      </c>
      <c r="N841" s="11">
        <f t="shared" si="34"/>
        <v>20</v>
      </c>
      <c r="O841" s="9"/>
      <c r="P841" s="9"/>
      <c r="Q841" s="9"/>
      <c r="R841" s="9"/>
      <c r="S841" s="9"/>
      <c r="T841" s="9"/>
      <c r="U841" s="9"/>
    </row>
    <row r="842" spans="2:21" x14ac:dyDescent="0.2">
      <c r="B842" t="s">
        <v>32</v>
      </c>
      <c r="C842" t="s">
        <v>834</v>
      </c>
      <c r="D842" t="s">
        <v>34</v>
      </c>
      <c r="E842" s="11"/>
      <c r="F842" s="9"/>
      <c r="G842" s="10">
        <v>1</v>
      </c>
      <c r="H842" s="10">
        <v>1</v>
      </c>
      <c r="I842" s="10">
        <v>0</v>
      </c>
      <c r="J842" s="9"/>
      <c r="K842" s="9">
        <v>10</v>
      </c>
      <c r="L842" s="1">
        <v>0</v>
      </c>
      <c r="M842" s="1">
        <f t="shared" si="33"/>
        <v>10</v>
      </c>
      <c r="N842" s="11">
        <f t="shared" si="34"/>
        <v>10</v>
      </c>
      <c r="O842" s="9"/>
      <c r="P842" s="9"/>
      <c r="Q842" s="9"/>
      <c r="R842" s="9"/>
      <c r="S842" s="9"/>
      <c r="T842" s="9"/>
      <c r="U842" s="9"/>
    </row>
    <row r="843" spans="2:21" x14ac:dyDescent="0.2">
      <c r="B843" t="s">
        <v>32</v>
      </c>
      <c r="C843" t="s">
        <v>241</v>
      </c>
      <c r="D843" t="s">
        <v>34</v>
      </c>
      <c r="E843" s="11"/>
      <c r="F843" s="9"/>
      <c r="G843" s="10">
        <v>1</v>
      </c>
      <c r="H843" s="10">
        <v>1</v>
      </c>
      <c r="I843" s="10">
        <v>0</v>
      </c>
      <c r="J843" s="9"/>
      <c r="K843" s="9">
        <v>10</v>
      </c>
      <c r="L843" s="1">
        <v>0</v>
      </c>
      <c r="M843" s="1">
        <f t="shared" si="33"/>
        <v>10</v>
      </c>
      <c r="N843" s="11">
        <f t="shared" si="34"/>
        <v>10</v>
      </c>
      <c r="O843" s="9"/>
      <c r="P843" s="9"/>
      <c r="Q843" s="9"/>
      <c r="R843" s="9"/>
      <c r="S843" s="9"/>
      <c r="T843" s="9"/>
      <c r="U843" s="9"/>
    </row>
    <row r="844" spans="2:21" x14ac:dyDescent="0.2">
      <c r="B844" t="s">
        <v>32</v>
      </c>
      <c r="C844" t="s">
        <v>835</v>
      </c>
      <c r="D844" t="s">
        <v>34</v>
      </c>
      <c r="E844" s="11"/>
      <c r="F844" s="9"/>
      <c r="G844" s="10">
        <v>1</v>
      </c>
      <c r="H844" s="10">
        <v>1</v>
      </c>
      <c r="I844" s="10">
        <v>0</v>
      </c>
      <c r="J844" s="9"/>
      <c r="K844" s="9">
        <v>10</v>
      </c>
      <c r="L844" s="1">
        <v>0</v>
      </c>
      <c r="M844" s="1">
        <f t="shared" si="33"/>
        <v>10</v>
      </c>
      <c r="N844" s="11">
        <f t="shared" si="34"/>
        <v>10</v>
      </c>
      <c r="O844" s="9"/>
      <c r="P844" s="9"/>
      <c r="Q844" s="9"/>
      <c r="R844" s="9"/>
      <c r="S844" s="9"/>
      <c r="T844" s="9"/>
      <c r="U844" s="9"/>
    </row>
    <row r="845" spans="2:21" x14ac:dyDescent="0.2">
      <c r="B845" t="s">
        <v>836</v>
      </c>
      <c r="C845" t="s">
        <v>825</v>
      </c>
      <c r="D845" t="s">
        <v>27</v>
      </c>
      <c r="E845" s="11"/>
      <c r="F845" s="9"/>
      <c r="G845" s="10">
        <v>1</v>
      </c>
      <c r="H845" s="10">
        <v>1</v>
      </c>
      <c r="I845" s="10">
        <v>0</v>
      </c>
      <c r="J845" s="9"/>
      <c r="K845" s="9">
        <v>10</v>
      </c>
      <c r="L845" s="1">
        <v>0</v>
      </c>
      <c r="M845" s="1">
        <f t="shared" si="33"/>
        <v>10</v>
      </c>
      <c r="N845" s="11">
        <f t="shared" si="34"/>
        <v>10</v>
      </c>
      <c r="O845" s="9"/>
      <c r="P845" s="9"/>
      <c r="Q845" s="9"/>
      <c r="R845" s="9"/>
      <c r="S845" s="9"/>
      <c r="T845" s="9"/>
      <c r="U845" s="9"/>
    </row>
    <row r="846" spans="2:21" x14ac:dyDescent="0.2">
      <c r="B846" t="s">
        <v>32</v>
      </c>
      <c r="C846" t="s">
        <v>825</v>
      </c>
      <c r="D846" t="s">
        <v>17</v>
      </c>
      <c r="E846" s="11"/>
      <c r="F846" s="9"/>
      <c r="G846" s="10">
        <v>2</v>
      </c>
      <c r="H846" s="10">
        <v>2</v>
      </c>
      <c r="I846" s="10">
        <v>0</v>
      </c>
      <c r="J846" s="9"/>
      <c r="K846" s="9">
        <v>10</v>
      </c>
      <c r="L846" s="1">
        <v>0</v>
      </c>
      <c r="M846" s="1">
        <f t="shared" si="33"/>
        <v>10</v>
      </c>
      <c r="N846" s="11">
        <f t="shared" si="34"/>
        <v>20</v>
      </c>
      <c r="O846" s="9"/>
      <c r="P846" s="9"/>
      <c r="Q846" s="9"/>
      <c r="R846" s="9"/>
      <c r="S846" s="9"/>
      <c r="T846" s="9"/>
      <c r="U846" s="9"/>
    </row>
    <row r="847" spans="2:21" x14ac:dyDescent="0.2">
      <c r="B847" t="s">
        <v>32</v>
      </c>
      <c r="C847" t="s">
        <v>216</v>
      </c>
      <c r="D847" t="s">
        <v>17</v>
      </c>
      <c r="E847" s="11"/>
      <c r="F847" s="9"/>
      <c r="G847" s="10">
        <v>1</v>
      </c>
      <c r="H847" s="10">
        <v>1</v>
      </c>
      <c r="I847" s="10">
        <v>0</v>
      </c>
      <c r="J847" s="9"/>
      <c r="K847" s="9">
        <v>10</v>
      </c>
      <c r="L847" s="1">
        <v>0</v>
      </c>
      <c r="M847" s="1">
        <f t="shared" si="33"/>
        <v>10</v>
      </c>
      <c r="N847" s="11">
        <f t="shared" si="34"/>
        <v>10</v>
      </c>
      <c r="O847" s="9"/>
      <c r="P847" s="9"/>
      <c r="Q847" s="9"/>
      <c r="R847" s="9"/>
      <c r="S847" s="9"/>
      <c r="T847" s="9"/>
      <c r="U847" s="9"/>
    </row>
    <row r="848" spans="2:21" x14ac:dyDescent="0.2">
      <c r="B848" t="s">
        <v>32</v>
      </c>
      <c r="C848" t="s">
        <v>214</v>
      </c>
      <c r="D848" t="s">
        <v>17</v>
      </c>
      <c r="E848" s="11"/>
      <c r="F848" s="9"/>
      <c r="G848" s="10">
        <v>1</v>
      </c>
      <c r="H848" s="10">
        <v>1</v>
      </c>
      <c r="I848" s="10">
        <v>0</v>
      </c>
      <c r="J848" s="9"/>
      <c r="K848" s="9">
        <v>10</v>
      </c>
      <c r="L848" s="1">
        <v>0</v>
      </c>
      <c r="M848" s="1">
        <f t="shared" si="33"/>
        <v>10</v>
      </c>
      <c r="N848" s="11">
        <f t="shared" si="34"/>
        <v>10</v>
      </c>
      <c r="O848" s="9"/>
      <c r="P848" s="9"/>
      <c r="Q848" s="9"/>
      <c r="R848" s="9"/>
      <c r="S848" s="9"/>
      <c r="T848" s="9"/>
      <c r="U848" s="9"/>
    </row>
    <row r="849" spans="2:21" x14ac:dyDescent="0.2">
      <c r="B849" t="s">
        <v>32</v>
      </c>
      <c r="C849" t="s">
        <v>837</v>
      </c>
      <c r="D849" t="s">
        <v>17</v>
      </c>
      <c r="E849" s="11"/>
      <c r="F849" s="9"/>
      <c r="G849" s="10">
        <v>1</v>
      </c>
      <c r="H849" s="10">
        <v>1</v>
      </c>
      <c r="I849" s="10">
        <v>0</v>
      </c>
      <c r="J849" s="9"/>
      <c r="K849" s="9">
        <v>10</v>
      </c>
      <c r="L849" s="1">
        <v>0</v>
      </c>
      <c r="M849" s="1">
        <f t="shared" si="33"/>
        <v>10</v>
      </c>
      <c r="N849" s="11">
        <f t="shared" si="34"/>
        <v>10</v>
      </c>
      <c r="O849" s="9"/>
      <c r="P849" s="9"/>
      <c r="Q849" s="9"/>
      <c r="R849" s="9"/>
      <c r="S849" s="9"/>
      <c r="T849" s="9"/>
      <c r="U849" s="9"/>
    </row>
    <row r="850" spans="2:21" x14ac:dyDescent="0.2">
      <c r="B850" t="s">
        <v>275</v>
      </c>
      <c r="C850" t="s">
        <v>838</v>
      </c>
      <c r="D850" t="s">
        <v>27</v>
      </c>
      <c r="E850" s="11"/>
      <c r="F850" s="9"/>
      <c r="G850" s="10">
        <v>1</v>
      </c>
      <c r="H850" s="10">
        <v>1</v>
      </c>
      <c r="I850" s="10">
        <v>0</v>
      </c>
      <c r="J850" s="9"/>
      <c r="K850" s="9">
        <v>10</v>
      </c>
      <c r="L850" s="1">
        <v>0</v>
      </c>
      <c r="M850" s="1">
        <f t="shared" si="33"/>
        <v>10</v>
      </c>
      <c r="N850" s="11">
        <f t="shared" si="34"/>
        <v>10</v>
      </c>
      <c r="O850" s="9"/>
      <c r="P850" s="9"/>
      <c r="Q850" s="9"/>
      <c r="R850" s="9"/>
      <c r="S850" s="9"/>
      <c r="T850" s="9"/>
      <c r="U850" s="9"/>
    </row>
    <row r="851" spans="2:21" x14ac:dyDescent="0.2">
      <c r="B851" t="s">
        <v>99</v>
      </c>
      <c r="C851" t="s">
        <v>839</v>
      </c>
      <c r="D851" t="s">
        <v>17</v>
      </c>
      <c r="E851" s="11"/>
      <c r="F851" s="9"/>
      <c r="G851" s="10">
        <v>1</v>
      </c>
      <c r="H851" s="10">
        <v>1</v>
      </c>
      <c r="I851" s="10">
        <v>0</v>
      </c>
      <c r="J851" s="9"/>
      <c r="K851" s="9">
        <v>10</v>
      </c>
      <c r="L851" s="1">
        <v>0</v>
      </c>
      <c r="M851" s="1">
        <f t="shared" si="33"/>
        <v>10</v>
      </c>
      <c r="N851" s="11">
        <f t="shared" si="34"/>
        <v>10</v>
      </c>
      <c r="O851" s="9"/>
      <c r="P851" s="9"/>
      <c r="Q851" s="9"/>
      <c r="R851" s="9"/>
      <c r="S851" s="9"/>
      <c r="T851" s="9"/>
      <c r="U851" s="9"/>
    </row>
    <row r="852" spans="2:21" x14ac:dyDescent="0.2">
      <c r="B852" t="s">
        <v>93</v>
      </c>
      <c r="C852" t="s">
        <v>840</v>
      </c>
      <c r="D852" t="s">
        <v>95</v>
      </c>
      <c r="G852">
        <v>1</v>
      </c>
      <c r="H852">
        <v>1</v>
      </c>
      <c r="I852" s="10">
        <v>0</v>
      </c>
      <c r="K852" s="9">
        <v>10</v>
      </c>
      <c r="L852" s="1">
        <v>0</v>
      </c>
      <c r="M852" s="1">
        <f t="shared" si="33"/>
        <v>10</v>
      </c>
      <c r="N852" s="11">
        <f t="shared" si="34"/>
        <v>10</v>
      </c>
    </row>
    <row r="853" spans="2:21" x14ac:dyDescent="0.2">
      <c r="B853" t="s">
        <v>93</v>
      </c>
      <c r="C853" t="s">
        <v>193</v>
      </c>
      <c r="D853" t="s">
        <v>95</v>
      </c>
      <c r="G853">
        <v>1</v>
      </c>
      <c r="H853">
        <v>1</v>
      </c>
      <c r="I853" s="10">
        <v>0</v>
      </c>
      <c r="K853" s="9">
        <v>10</v>
      </c>
      <c r="L853" s="1">
        <v>0</v>
      </c>
      <c r="M853" s="1">
        <f t="shared" si="33"/>
        <v>10</v>
      </c>
      <c r="N853" s="11">
        <f t="shared" si="34"/>
        <v>10</v>
      </c>
    </row>
    <row r="854" spans="2:21" x14ac:dyDescent="0.2">
      <c r="B854" t="s">
        <v>93</v>
      </c>
      <c r="C854" t="s">
        <v>841</v>
      </c>
      <c r="D854" t="s">
        <v>95</v>
      </c>
      <c r="G854">
        <v>1</v>
      </c>
      <c r="H854">
        <v>1</v>
      </c>
      <c r="I854" s="10">
        <v>0</v>
      </c>
      <c r="K854" s="9">
        <v>10</v>
      </c>
      <c r="L854" s="1">
        <v>0</v>
      </c>
      <c r="M854" s="1">
        <f t="shared" si="33"/>
        <v>10</v>
      </c>
      <c r="N854" s="11">
        <f t="shared" si="34"/>
        <v>10</v>
      </c>
    </row>
    <row r="855" spans="2:21" x14ac:dyDescent="0.2">
      <c r="B855" t="s">
        <v>99</v>
      </c>
      <c r="C855" t="s">
        <v>193</v>
      </c>
      <c r="D855" t="s">
        <v>34</v>
      </c>
      <c r="G855">
        <v>2</v>
      </c>
      <c r="H855">
        <v>2</v>
      </c>
      <c r="I855" s="10">
        <v>0</v>
      </c>
      <c r="K855" s="9">
        <v>10</v>
      </c>
      <c r="L855" s="1">
        <v>0</v>
      </c>
      <c r="M855" s="1">
        <f t="shared" si="33"/>
        <v>10</v>
      </c>
      <c r="N855" s="11">
        <f t="shared" si="34"/>
        <v>20</v>
      </c>
    </row>
    <row r="856" spans="2:21" x14ac:dyDescent="0.2">
      <c r="B856" t="s">
        <v>96</v>
      </c>
      <c r="C856" t="s">
        <v>191</v>
      </c>
      <c r="D856" t="s">
        <v>97</v>
      </c>
      <c r="G856">
        <v>1</v>
      </c>
      <c r="H856">
        <v>1</v>
      </c>
      <c r="I856">
        <v>0</v>
      </c>
      <c r="K856" s="9">
        <v>10</v>
      </c>
      <c r="L856" s="1">
        <v>0</v>
      </c>
      <c r="M856" s="1">
        <f t="shared" si="33"/>
        <v>10</v>
      </c>
      <c r="N856" s="11">
        <f t="shared" si="34"/>
        <v>10</v>
      </c>
    </row>
    <row r="857" spans="2:21" x14ac:dyDescent="0.2">
      <c r="B857" t="s">
        <v>96</v>
      </c>
      <c r="C857" t="s">
        <v>190</v>
      </c>
      <c r="D857" t="s">
        <v>97</v>
      </c>
      <c r="G857">
        <v>2</v>
      </c>
      <c r="H857">
        <v>1</v>
      </c>
      <c r="I857">
        <v>1</v>
      </c>
      <c r="K857" s="9">
        <v>10</v>
      </c>
      <c r="L857" s="1">
        <v>0</v>
      </c>
      <c r="M857" s="1">
        <f t="shared" si="33"/>
        <v>10</v>
      </c>
      <c r="N857" s="11">
        <f t="shared" si="34"/>
        <v>20</v>
      </c>
    </row>
    <row r="858" spans="2:21" x14ac:dyDescent="0.2">
      <c r="B858" t="s">
        <v>96</v>
      </c>
      <c r="C858" t="s">
        <v>842</v>
      </c>
      <c r="D858" t="s">
        <v>97</v>
      </c>
      <c r="G858">
        <v>1</v>
      </c>
      <c r="H858">
        <v>1</v>
      </c>
      <c r="I858">
        <v>0</v>
      </c>
      <c r="K858" s="9">
        <v>10</v>
      </c>
      <c r="L858" s="1">
        <v>0</v>
      </c>
      <c r="M858" s="1">
        <f t="shared" si="33"/>
        <v>10</v>
      </c>
      <c r="N858" s="11">
        <f t="shared" si="34"/>
        <v>10</v>
      </c>
    </row>
    <row r="859" spans="2:21" x14ac:dyDescent="0.2">
      <c r="B859" t="s">
        <v>96</v>
      </c>
      <c r="C859" t="s">
        <v>192</v>
      </c>
      <c r="D859" t="s">
        <v>97</v>
      </c>
      <c r="G859">
        <v>1</v>
      </c>
      <c r="H859">
        <v>1</v>
      </c>
      <c r="I859">
        <v>0</v>
      </c>
      <c r="K859" s="9">
        <v>10</v>
      </c>
      <c r="L859" s="1">
        <v>0</v>
      </c>
      <c r="M859" s="1">
        <f t="shared" si="33"/>
        <v>10</v>
      </c>
      <c r="N859" s="11">
        <f t="shared" si="34"/>
        <v>10</v>
      </c>
    </row>
    <row r="860" spans="2:21" x14ac:dyDescent="0.2">
      <c r="B860" t="s">
        <v>96</v>
      </c>
      <c r="C860" t="s">
        <v>843</v>
      </c>
      <c r="D860" t="s">
        <v>97</v>
      </c>
      <c r="G860">
        <v>1</v>
      </c>
      <c r="H860">
        <v>1</v>
      </c>
      <c r="I860">
        <v>0</v>
      </c>
      <c r="K860" s="9">
        <v>10</v>
      </c>
      <c r="L860" s="1">
        <v>0</v>
      </c>
      <c r="M860" s="1">
        <f t="shared" si="33"/>
        <v>10</v>
      </c>
      <c r="N860" s="11">
        <f t="shared" si="34"/>
        <v>10</v>
      </c>
    </row>
    <row r="861" spans="2:21" x14ac:dyDescent="0.2">
      <c r="B861" t="s">
        <v>99</v>
      </c>
      <c r="C861" t="s">
        <v>677</v>
      </c>
      <c r="D861" t="s">
        <v>17</v>
      </c>
      <c r="G861">
        <v>1</v>
      </c>
      <c r="H861">
        <v>1</v>
      </c>
      <c r="I861">
        <v>0</v>
      </c>
      <c r="K861" s="1">
        <v>10</v>
      </c>
      <c r="L861" s="1">
        <v>0</v>
      </c>
      <c r="M861" s="1">
        <f t="shared" si="33"/>
        <v>10</v>
      </c>
      <c r="N861" s="11">
        <f t="shared" si="34"/>
        <v>10</v>
      </c>
    </row>
    <row r="862" spans="2:21" ht="14" customHeight="1" x14ac:dyDescent="0.2">
      <c r="B862" t="s">
        <v>93</v>
      </c>
      <c r="C862" t="s">
        <v>844</v>
      </c>
      <c r="D862" t="s">
        <v>91</v>
      </c>
      <c r="E862" s="11"/>
      <c r="F862" s="9"/>
      <c r="G862" s="10">
        <v>2</v>
      </c>
      <c r="H862" s="10">
        <v>2</v>
      </c>
      <c r="I862">
        <v>0</v>
      </c>
      <c r="J862" s="9"/>
      <c r="K862" s="9">
        <v>10</v>
      </c>
      <c r="L862" s="1">
        <v>0</v>
      </c>
      <c r="M862" s="1">
        <f t="shared" si="33"/>
        <v>10</v>
      </c>
      <c r="N862" s="11">
        <f t="shared" si="34"/>
        <v>20</v>
      </c>
      <c r="O862" s="9"/>
      <c r="P862" s="9"/>
      <c r="Q862" s="9"/>
      <c r="R862" s="9"/>
      <c r="S862" s="9"/>
      <c r="T862" s="9"/>
      <c r="U862" s="9"/>
    </row>
    <row r="863" spans="2:21" ht="14" customHeight="1" x14ac:dyDescent="0.2">
      <c r="B863" t="s">
        <v>96</v>
      </c>
      <c r="C863" t="s">
        <v>844</v>
      </c>
      <c r="D863" t="s">
        <v>97</v>
      </c>
      <c r="E863" s="11"/>
      <c r="F863" s="9"/>
      <c r="G863" s="10">
        <v>1</v>
      </c>
      <c r="H863" s="10">
        <v>1</v>
      </c>
      <c r="I863">
        <v>0</v>
      </c>
      <c r="J863" s="9"/>
      <c r="K863" s="9">
        <v>10</v>
      </c>
      <c r="L863" s="1">
        <v>0</v>
      </c>
      <c r="M863" s="1">
        <f t="shared" si="33"/>
        <v>10</v>
      </c>
      <c r="N863" s="11">
        <f t="shared" si="34"/>
        <v>10</v>
      </c>
      <c r="O863" s="9"/>
      <c r="P863" s="9"/>
      <c r="Q863" s="9"/>
      <c r="R863" s="9"/>
      <c r="S863" s="9"/>
      <c r="T863" s="9"/>
      <c r="U863" s="9"/>
    </row>
    <row r="864" spans="2:21" ht="14" customHeight="1" x14ac:dyDescent="0.2">
      <c r="B864" t="s">
        <v>93</v>
      </c>
      <c r="C864" t="s">
        <v>845</v>
      </c>
      <c r="D864" t="s">
        <v>91</v>
      </c>
      <c r="E864" s="11"/>
      <c r="F864" s="9"/>
      <c r="G864" s="10">
        <v>1</v>
      </c>
      <c r="H864" s="10">
        <v>1</v>
      </c>
      <c r="I864">
        <v>0</v>
      </c>
      <c r="J864" s="9"/>
      <c r="K864" s="9">
        <v>10</v>
      </c>
      <c r="L864" s="1">
        <v>0</v>
      </c>
      <c r="M864" s="1">
        <f t="shared" si="33"/>
        <v>10</v>
      </c>
      <c r="N864" s="11">
        <f t="shared" si="34"/>
        <v>10</v>
      </c>
      <c r="O864" s="9"/>
      <c r="P864" s="9"/>
      <c r="Q864" s="9"/>
      <c r="R864" s="9"/>
      <c r="S864" s="9"/>
      <c r="T864" s="9"/>
      <c r="U864" s="9"/>
    </row>
    <row r="865" spans="2:21" ht="14" customHeight="1" x14ac:dyDescent="0.2">
      <c r="B865" t="s">
        <v>96</v>
      </c>
      <c r="C865" t="s">
        <v>846</v>
      </c>
      <c r="D865" t="s">
        <v>97</v>
      </c>
      <c r="E865" s="11"/>
      <c r="F865" s="9"/>
      <c r="G865" s="10">
        <v>1</v>
      </c>
      <c r="H865" s="10">
        <v>1</v>
      </c>
      <c r="I865">
        <v>0</v>
      </c>
      <c r="J865" s="9"/>
      <c r="K865" s="9">
        <v>10</v>
      </c>
      <c r="L865" s="1">
        <v>0</v>
      </c>
      <c r="M865" s="1">
        <f t="shared" si="33"/>
        <v>10</v>
      </c>
      <c r="N865" s="11">
        <f t="shared" si="34"/>
        <v>10</v>
      </c>
      <c r="O865" s="9"/>
      <c r="P865" s="9"/>
      <c r="Q865" s="9"/>
      <c r="R865" s="9"/>
      <c r="S865" s="9"/>
      <c r="T865" s="9"/>
      <c r="U865" s="9"/>
    </row>
    <row r="866" spans="2:21" ht="14" customHeight="1" x14ac:dyDescent="0.2">
      <c r="B866" t="s">
        <v>93</v>
      </c>
      <c r="C866" t="s">
        <v>846</v>
      </c>
      <c r="D866" t="s">
        <v>91</v>
      </c>
      <c r="E866" s="11"/>
      <c r="F866" s="9"/>
      <c r="G866" s="10">
        <v>1</v>
      </c>
      <c r="H866" s="10">
        <v>1</v>
      </c>
      <c r="I866">
        <v>0</v>
      </c>
      <c r="J866" s="9"/>
      <c r="K866" s="9">
        <v>10</v>
      </c>
      <c r="L866" s="1">
        <v>0</v>
      </c>
      <c r="M866" s="1">
        <f t="shared" si="33"/>
        <v>10</v>
      </c>
      <c r="N866" s="11">
        <f t="shared" si="34"/>
        <v>10</v>
      </c>
      <c r="O866" s="9"/>
      <c r="P866" s="9"/>
      <c r="Q866" s="9"/>
      <c r="R866" s="9"/>
      <c r="S866" s="9"/>
      <c r="T866" s="9"/>
      <c r="U866" s="9"/>
    </row>
    <row r="867" spans="2:21" ht="14" customHeight="1" x14ac:dyDescent="0.2">
      <c r="B867" t="s">
        <v>93</v>
      </c>
      <c r="C867" t="s">
        <v>847</v>
      </c>
      <c r="D867" t="s">
        <v>91</v>
      </c>
      <c r="E867" s="11"/>
      <c r="F867" s="9"/>
      <c r="G867" s="10">
        <v>1</v>
      </c>
      <c r="H867" s="10">
        <v>1</v>
      </c>
      <c r="I867">
        <v>0</v>
      </c>
      <c r="J867" s="9"/>
      <c r="K867" s="9">
        <v>10</v>
      </c>
      <c r="L867" s="1">
        <v>0</v>
      </c>
      <c r="M867" s="1">
        <f t="shared" si="33"/>
        <v>10</v>
      </c>
      <c r="N867" s="11">
        <f t="shared" si="34"/>
        <v>10</v>
      </c>
      <c r="O867" s="9"/>
      <c r="P867" s="9"/>
      <c r="Q867" s="9"/>
      <c r="R867" s="9"/>
      <c r="S867" s="9"/>
      <c r="T867" s="9"/>
      <c r="U867" s="9"/>
    </row>
    <row r="868" spans="2:21" x14ac:dyDescent="0.2">
      <c r="B868" t="s">
        <v>93</v>
      </c>
      <c r="C868" t="s">
        <v>407</v>
      </c>
      <c r="D868" t="s">
        <v>91</v>
      </c>
      <c r="E868" s="11"/>
      <c r="F868" s="9"/>
      <c r="G868" s="10">
        <v>1</v>
      </c>
      <c r="H868" s="10">
        <v>1</v>
      </c>
      <c r="I868">
        <v>0</v>
      </c>
      <c r="J868" s="9"/>
      <c r="K868" s="9">
        <v>10</v>
      </c>
      <c r="L868" s="1">
        <v>0</v>
      </c>
      <c r="M868" s="1">
        <f t="shared" si="33"/>
        <v>10</v>
      </c>
      <c r="N868" s="11">
        <f t="shared" si="34"/>
        <v>10</v>
      </c>
      <c r="O868" s="9"/>
      <c r="P868" s="9"/>
      <c r="Q868" s="9"/>
      <c r="R868" s="9"/>
      <c r="S868" s="9"/>
      <c r="T868" s="9"/>
      <c r="U868" s="9"/>
    </row>
    <row r="869" spans="2:21" x14ac:dyDescent="0.2">
      <c r="B869" t="s">
        <v>90</v>
      </c>
      <c r="C869" t="s">
        <v>848</v>
      </c>
      <c r="D869" t="s">
        <v>91</v>
      </c>
      <c r="E869" s="11"/>
      <c r="F869" s="9"/>
      <c r="G869" s="10">
        <v>1</v>
      </c>
      <c r="H869" s="10">
        <v>1</v>
      </c>
      <c r="I869">
        <v>0</v>
      </c>
      <c r="J869" s="9"/>
      <c r="K869" s="9">
        <v>10</v>
      </c>
      <c r="L869" s="1">
        <v>0</v>
      </c>
      <c r="M869" s="1">
        <f t="shared" si="33"/>
        <v>10</v>
      </c>
      <c r="N869" s="11">
        <f t="shared" si="34"/>
        <v>10</v>
      </c>
      <c r="O869" s="9"/>
      <c r="P869" s="9"/>
      <c r="Q869" s="9"/>
      <c r="R869" s="9"/>
      <c r="S869" s="9"/>
      <c r="T869" s="9"/>
      <c r="U869" s="9"/>
    </row>
    <row r="870" spans="2:21" x14ac:dyDescent="0.2">
      <c r="B870" t="s">
        <v>93</v>
      </c>
      <c r="C870" t="s">
        <v>849</v>
      </c>
      <c r="D870" t="s">
        <v>91</v>
      </c>
      <c r="E870" s="11"/>
      <c r="F870" s="9"/>
      <c r="G870" s="10">
        <v>1</v>
      </c>
      <c r="H870" s="10">
        <v>1</v>
      </c>
      <c r="I870">
        <v>0</v>
      </c>
      <c r="J870" s="9"/>
      <c r="K870" s="9">
        <v>10</v>
      </c>
      <c r="L870" s="1">
        <v>0</v>
      </c>
      <c r="M870" s="1">
        <f t="shared" si="33"/>
        <v>10</v>
      </c>
      <c r="N870" s="11">
        <f t="shared" si="34"/>
        <v>10</v>
      </c>
      <c r="O870" s="9"/>
      <c r="P870" s="9"/>
      <c r="Q870" s="9"/>
      <c r="R870" s="9"/>
      <c r="S870" s="9"/>
      <c r="T870" s="9"/>
      <c r="U870" s="9"/>
    </row>
    <row r="871" spans="2:21" x14ac:dyDescent="0.2">
      <c r="B871" t="s">
        <v>96</v>
      </c>
      <c r="C871" t="s">
        <v>707</v>
      </c>
      <c r="D871" t="s">
        <v>97</v>
      </c>
      <c r="E871" s="11"/>
      <c r="F871" s="9"/>
      <c r="G871" s="10">
        <v>1</v>
      </c>
      <c r="H871" s="10">
        <v>1</v>
      </c>
      <c r="I871">
        <v>0</v>
      </c>
      <c r="J871" s="9"/>
      <c r="K871" s="9">
        <v>10</v>
      </c>
      <c r="L871" s="1">
        <v>0</v>
      </c>
      <c r="M871" s="1">
        <f t="shared" si="33"/>
        <v>10</v>
      </c>
      <c r="N871" s="11">
        <f t="shared" si="34"/>
        <v>10</v>
      </c>
      <c r="O871" s="9"/>
      <c r="P871" s="9"/>
      <c r="Q871" s="9"/>
      <c r="R871" s="9"/>
      <c r="S871" s="9"/>
      <c r="T871" s="9"/>
      <c r="U871" s="9"/>
    </row>
    <row r="872" spans="2:21" x14ac:dyDescent="0.2">
      <c r="B872" t="s">
        <v>850</v>
      </c>
      <c r="C872" t="s">
        <v>667</v>
      </c>
      <c r="D872" t="s">
        <v>257</v>
      </c>
      <c r="F872" s="9"/>
      <c r="G872">
        <v>1</v>
      </c>
      <c r="H872" s="10">
        <v>1</v>
      </c>
      <c r="I872">
        <v>0</v>
      </c>
      <c r="K872" s="9">
        <v>10</v>
      </c>
      <c r="L872" s="1">
        <v>0</v>
      </c>
      <c r="M872" s="1">
        <f t="shared" si="33"/>
        <v>10</v>
      </c>
      <c r="N872" s="11">
        <f t="shared" si="34"/>
        <v>10</v>
      </c>
      <c r="O872" s="9"/>
    </row>
    <row r="873" spans="2:21" x14ac:dyDescent="0.2">
      <c r="B873" t="s">
        <v>851</v>
      </c>
      <c r="C873" t="s">
        <v>852</v>
      </c>
      <c r="D873" t="s">
        <v>34</v>
      </c>
      <c r="E873" s="11"/>
      <c r="F873" s="9"/>
      <c r="G873" s="10">
        <v>1</v>
      </c>
      <c r="H873" s="10">
        <v>1</v>
      </c>
      <c r="I873">
        <v>0</v>
      </c>
      <c r="J873" s="9"/>
      <c r="K873" s="9">
        <v>10</v>
      </c>
      <c r="L873" s="1">
        <v>0</v>
      </c>
      <c r="M873" s="1">
        <f t="shared" si="33"/>
        <v>10</v>
      </c>
      <c r="N873" s="11">
        <f t="shared" si="34"/>
        <v>10</v>
      </c>
      <c r="O873" s="9"/>
      <c r="P873" s="9"/>
      <c r="Q873" s="9"/>
      <c r="R873" s="9"/>
      <c r="S873" s="9"/>
      <c r="T873" s="9"/>
      <c r="U873" s="9"/>
    </row>
    <row r="874" spans="2:21" x14ac:dyDescent="0.2">
      <c r="B874" t="s">
        <v>850</v>
      </c>
      <c r="C874" t="s">
        <v>853</v>
      </c>
      <c r="D874" t="s">
        <v>672</v>
      </c>
      <c r="E874" s="11"/>
      <c r="F874" s="9"/>
      <c r="G874" s="10">
        <v>1</v>
      </c>
      <c r="H874" s="10">
        <v>1</v>
      </c>
      <c r="I874">
        <v>0</v>
      </c>
      <c r="J874" s="9"/>
      <c r="K874" s="9">
        <v>10</v>
      </c>
      <c r="L874" s="1">
        <v>0</v>
      </c>
      <c r="M874" s="1">
        <f t="shared" si="33"/>
        <v>10</v>
      </c>
      <c r="N874" s="11">
        <f t="shared" si="34"/>
        <v>10</v>
      </c>
      <c r="O874" s="9"/>
      <c r="P874" s="9"/>
      <c r="Q874" s="9"/>
      <c r="R874" s="9"/>
      <c r="S874" s="9"/>
      <c r="T874" s="9"/>
      <c r="U874" s="9"/>
    </row>
    <row r="875" spans="2:21" x14ac:dyDescent="0.2">
      <c r="B875" t="s">
        <v>850</v>
      </c>
      <c r="C875" t="s">
        <v>854</v>
      </c>
      <c r="D875" t="s">
        <v>97</v>
      </c>
      <c r="E875" s="11"/>
      <c r="F875" s="9"/>
      <c r="G875" s="10">
        <v>1</v>
      </c>
      <c r="H875" s="10">
        <v>1</v>
      </c>
      <c r="I875">
        <v>0</v>
      </c>
      <c r="J875" s="9"/>
      <c r="K875" s="9">
        <v>10</v>
      </c>
      <c r="L875" s="1">
        <v>0</v>
      </c>
      <c r="M875" s="1">
        <f t="shared" si="33"/>
        <v>10</v>
      </c>
      <c r="N875" s="11">
        <f t="shared" si="34"/>
        <v>10</v>
      </c>
      <c r="O875" s="9"/>
      <c r="P875" s="9"/>
      <c r="Q875" s="9"/>
      <c r="R875" s="9"/>
      <c r="S875" s="9"/>
      <c r="T875" s="9"/>
      <c r="U875" s="9"/>
    </row>
    <row r="876" spans="2:21" x14ac:dyDescent="0.2">
      <c r="B876" t="s">
        <v>855</v>
      </c>
      <c r="C876" t="s">
        <v>856</v>
      </c>
      <c r="D876" t="s">
        <v>91</v>
      </c>
      <c r="E876" s="11"/>
      <c r="F876" s="9"/>
      <c r="G876" s="10">
        <v>1</v>
      </c>
      <c r="H876" s="10">
        <v>1</v>
      </c>
      <c r="I876">
        <v>0</v>
      </c>
      <c r="J876" s="9"/>
      <c r="K876" s="9">
        <v>10</v>
      </c>
      <c r="L876" s="1">
        <v>0</v>
      </c>
      <c r="M876" s="1">
        <f t="shared" si="33"/>
        <v>10</v>
      </c>
      <c r="N876" s="11">
        <f t="shared" si="34"/>
        <v>10</v>
      </c>
      <c r="O876" s="9"/>
      <c r="P876" s="9"/>
      <c r="Q876" s="9"/>
      <c r="R876" s="9"/>
      <c r="S876" s="9"/>
      <c r="T876" s="9"/>
      <c r="U876" s="9"/>
    </row>
    <row r="877" spans="2:21" x14ac:dyDescent="0.2">
      <c r="B877" t="s">
        <v>668</v>
      </c>
      <c r="C877" t="s">
        <v>857</v>
      </c>
      <c r="D877" t="s">
        <v>34</v>
      </c>
      <c r="E877" s="11"/>
      <c r="F877" s="9"/>
      <c r="G877" s="10">
        <v>3</v>
      </c>
      <c r="H877">
        <v>3</v>
      </c>
      <c r="I877">
        <v>0</v>
      </c>
      <c r="J877" s="9"/>
      <c r="K877" s="9">
        <v>10</v>
      </c>
      <c r="L877" s="1">
        <v>0</v>
      </c>
      <c r="M877" s="1">
        <f t="shared" si="33"/>
        <v>10</v>
      </c>
      <c r="N877" s="11">
        <f t="shared" si="34"/>
        <v>30</v>
      </c>
      <c r="O877" s="9"/>
      <c r="P877" s="9"/>
      <c r="Q877" s="9"/>
      <c r="R877" s="9"/>
      <c r="S877" s="9"/>
      <c r="T877" s="9"/>
      <c r="U877" s="9"/>
    </row>
    <row r="878" spans="2:21" x14ac:dyDescent="0.2">
      <c r="B878" t="s">
        <v>668</v>
      </c>
      <c r="C878" t="s">
        <v>858</v>
      </c>
      <c r="D878" t="s">
        <v>34</v>
      </c>
      <c r="E878" s="11"/>
      <c r="F878" s="9"/>
      <c r="G878" s="10">
        <v>1</v>
      </c>
      <c r="H878">
        <v>1</v>
      </c>
      <c r="I878">
        <v>0</v>
      </c>
      <c r="J878" s="9"/>
      <c r="K878" s="9">
        <v>10</v>
      </c>
      <c r="L878" s="1">
        <v>0</v>
      </c>
      <c r="M878" s="1">
        <f t="shared" si="33"/>
        <v>10</v>
      </c>
      <c r="N878" s="11">
        <f t="shared" si="34"/>
        <v>10</v>
      </c>
      <c r="O878" s="9"/>
      <c r="P878" s="9"/>
      <c r="Q878" s="9"/>
      <c r="R878" s="9"/>
      <c r="S878" s="9"/>
      <c r="T878" s="9"/>
      <c r="U878" s="9"/>
    </row>
    <row r="879" spans="2:21" x14ac:dyDescent="0.2">
      <c r="B879" t="s">
        <v>668</v>
      </c>
      <c r="C879" t="s">
        <v>859</v>
      </c>
      <c r="D879" t="s">
        <v>860</v>
      </c>
      <c r="E879" s="11"/>
      <c r="F879" s="9"/>
      <c r="G879" s="10">
        <v>1</v>
      </c>
      <c r="H879">
        <v>1</v>
      </c>
      <c r="I879">
        <v>0</v>
      </c>
      <c r="J879" s="9"/>
      <c r="K879" s="9">
        <v>10</v>
      </c>
      <c r="L879" s="1">
        <v>0</v>
      </c>
      <c r="M879" s="1">
        <f t="shared" si="33"/>
        <v>10</v>
      </c>
      <c r="N879" s="11">
        <f t="shared" si="34"/>
        <v>10</v>
      </c>
      <c r="O879" s="9"/>
      <c r="P879" s="9"/>
      <c r="Q879" s="9"/>
      <c r="R879" s="9"/>
      <c r="S879" s="9"/>
      <c r="T879" s="9"/>
      <c r="U879" s="9"/>
    </row>
    <row r="880" spans="2:21" x14ac:dyDescent="0.2">
      <c r="B880" t="s">
        <v>670</v>
      </c>
      <c r="C880" t="s">
        <v>861</v>
      </c>
      <c r="D880" t="s">
        <v>672</v>
      </c>
      <c r="E880" s="11"/>
      <c r="F880" s="9"/>
      <c r="G880" s="10">
        <v>1</v>
      </c>
      <c r="H880">
        <v>1</v>
      </c>
      <c r="I880">
        <v>0</v>
      </c>
      <c r="J880" s="9"/>
      <c r="K880" s="9">
        <v>10</v>
      </c>
      <c r="L880" s="1">
        <v>0</v>
      </c>
      <c r="M880" s="1">
        <f t="shared" si="33"/>
        <v>10</v>
      </c>
      <c r="N880" s="11">
        <f t="shared" si="34"/>
        <v>10</v>
      </c>
      <c r="O880" s="9"/>
      <c r="P880" s="9"/>
      <c r="Q880" s="9"/>
      <c r="R880" s="9"/>
      <c r="S880" s="9"/>
      <c r="T880" s="9"/>
      <c r="U880" s="9"/>
    </row>
    <row r="881" spans="2:21" x14ac:dyDescent="0.2">
      <c r="B881" t="s">
        <v>670</v>
      </c>
      <c r="C881" t="s">
        <v>862</v>
      </c>
      <c r="D881" t="s">
        <v>672</v>
      </c>
      <c r="E881" s="11"/>
      <c r="F881" s="9"/>
      <c r="G881" s="10">
        <v>1</v>
      </c>
      <c r="H881">
        <v>1</v>
      </c>
      <c r="I881">
        <v>0</v>
      </c>
      <c r="J881" s="9"/>
      <c r="K881" s="9">
        <v>10</v>
      </c>
      <c r="L881" s="1">
        <v>0</v>
      </c>
      <c r="M881" s="1">
        <f t="shared" si="33"/>
        <v>10</v>
      </c>
      <c r="N881" s="11">
        <f t="shared" si="34"/>
        <v>10</v>
      </c>
      <c r="O881" s="9"/>
      <c r="P881" s="9"/>
      <c r="Q881" s="9"/>
      <c r="R881" s="9"/>
      <c r="S881" s="9"/>
      <c r="T881" s="9"/>
      <c r="U881" s="9"/>
    </row>
    <row r="882" spans="2:21" x14ac:dyDescent="0.2">
      <c r="B882" t="s">
        <v>668</v>
      </c>
      <c r="C882" t="s">
        <v>863</v>
      </c>
      <c r="D882" t="s">
        <v>864</v>
      </c>
      <c r="E882" s="11"/>
      <c r="F882" s="9"/>
      <c r="G882" s="10">
        <v>1</v>
      </c>
      <c r="H882">
        <v>1</v>
      </c>
      <c r="I882">
        <v>0</v>
      </c>
      <c r="J882" s="9"/>
      <c r="K882" s="9">
        <v>10</v>
      </c>
      <c r="L882" s="1">
        <v>0</v>
      </c>
      <c r="M882" s="1">
        <f t="shared" si="33"/>
        <v>10</v>
      </c>
      <c r="N882" s="11">
        <f t="shared" si="34"/>
        <v>10</v>
      </c>
      <c r="O882" s="9"/>
      <c r="P882" s="9"/>
      <c r="Q882" s="9"/>
      <c r="R882" s="9"/>
      <c r="S882" s="9"/>
      <c r="T882" s="9"/>
      <c r="U882" s="9"/>
    </row>
    <row r="883" spans="2:21" x14ac:dyDescent="0.2">
      <c r="B883" t="s">
        <v>668</v>
      </c>
      <c r="C883" t="s">
        <v>865</v>
      </c>
      <c r="D883" t="s">
        <v>864</v>
      </c>
      <c r="E883" s="11"/>
      <c r="F883" s="9"/>
      <c r="G883" s="10">
        <v>1</v>
      </c>
      <c r="H883">
        <v>1</v>
      </c>
      <c r="I883">
        <v>0</v>
      </c>
      <c r="J883" s="9"/>
      <c r="K883" s="9">
        <v>10</v>
      </c>
      <c r="L883" s="1">
        <v>0</v>
      </c>
      <c r="M883" s="1">
        <f t="shared" si="33"/>
        <v>10</v>
      </c>
      <c r="N883" s="11">
        <f t="shared" si="34"/>
        <v>10</v>
      </c>
      <c r="O883" s="9"/>
      <c r="P883" s="9"/>
      <c r="Q883" s="9"/>
      <c r="R883" s="9"/>
      <c r="S883" s="9"/>
      <c r="T883" s="9"/>
      <c r="U883" s="9"/>
    </row>
    <row r="884" spans="2:21" x14ac:dyDescent="0.2">
      <c r="B884" t="s">
        <v>670</v>
      </c>
      <c r="C884" t="s">
        <v>866</v>
      </c>
      <c r="D884" t="s">
        <v>672</v>
      </c>
      <c r="E884" s="11"/>
      <c r="F884" s="9"/>
      <c r="G884" s="10">
        <v>1</v>
      </c>
      <c r="H884">
        <v>1</v>
      </c>
      <c r="I884">
        <v>0</v>
      </c>
      <c r="J884" s="9"/>
      <c r="K884" s="9">
        <v>10</v>
      </c>
      <c r="L884" s="1">
        <v>0</v>
      </c>
      <c r="M884" s="1">
        <f t="shared" si="33"/>
        <v>10</v>
      </c>
      <c r="N884" s="11">
        <f t="shared" si="34"/>
        <v>10</v>
      </c>
      <c r="O884" s="9"/>
      <c r="P884" s="9"/>
      <c r="Q884" s="9"/>
      <c r="R884" s="9"/>
      <c r="S884" s="9"/>
      <c r="T884" s="9"/>
      <c r="U884" s="9"/>
    </row>
    <row r="885" spans="2:21" x14ac:dyDescent="0.2">
      <c r="B885" t="s">
        <v>670</v>
      </c>
      <c r="C885" t="s">
        <v>867</v>
      </c>
      <c r="D885" t="s">
        <v>672</v>
      </c>
      <c r="E885" s="11"/>
      <c r="F885" s="9"/>
      <c r="G885" s="10">
        <v>1</v>
      </c>
      <c r="H885">
        <v>1</v>
      </c>
      <c r="I885">
        <v>0</v>
      </c>
      <c r="J885" s="9"/>
      <c r="K885" s="9">
        <v>10</v>
      </c>
      <c r="L885" s="1">
        <v>0</v>
      </c>
      <c r="M885" s="1">
        <f t="shared" si="33"/>
        <v>10</v>
      </c>
      <c r="N885" s="11">
        <f t="shared" si="34"/>
        <v>10</v>
      </c>
      <c r="O885" s="9"/>
      <c r="P885" s="9"/>
      <c r="Q885" s="9"/>
      <c r="R885" s="9"/>
      <c r="S885" s="9"/>
      <c r="T885" s="9"/>
      <c r="U885" s="9"/>
    </row>
    <row r="886" spans="2:21" x14ac:dyDescent="0.2">
      <c r="B886" t="s">
        <v>868</v>
      </c>
      <c r="C886" t="s">
        <v>688</v>
      </c>
      <c r="D886" t="s">
        <v>17</v>
      </c>
      <c r="E886" s="11"/>
      <c r="F886" s="9"/>
      <c r="G886" s="10">
        <v>1</v>
      </c>
      <c r="H886">
        <v>1</v>
      </c>
      <c r="I886">
        <v>0</v>
      </c>
      <c r="J886" s="9"/>
      <c r="K886" s="9">
        <v>10</v>
      </c>
      <c r="L886" s="1">
        <v>0</v>
      </c>
      <c r="M886" s="1">
        <f t="shared" si="33"/>
        <v>10</v>
      </c>
      <c r="N886" s="11">
        <f t="shared" si="34"/>
        <v>10</v>
      </c>
      <c r="O886" s="9"/>
      <c r="P886" s="9"/>
      <c r="Q886" s="9"/>
      <c r="R886" s="9"/>
      <c r="S886" s="9"/>
      <c r="T886" s="9"/>
      <c r="U886" s="9"/>
    </row>
    <row r="887" spans="2:21" x14ac:dyDescent="0.2">
      <c r="B887" t="s">
        <v>868</v>
      </c>
      <c r="C887" t="s">
        <v>869</v>
      </c>
      <c r="D887" t="s">
        <v>34</v>
      </c>
      <c r="E887" s="11"/>
      <c r="F887" s="9"/>
      <c r="G887" s="10">
        <v>1</v>
      </c>
      <c r="H887">
        <v>1</v>
      </c>
      <c r="I887">
        <v>0</v>
      </c>
      <c r="J887" s="9"/>
      <c r="K887" s="9">
        <v>10</v>
      </c>
      <c r="L887" s="1">
        <v>0</v>
      </c>
      <c r="M887" s="1">
        <f t="shared" si="33"/>
        <v>10</v>
      </c>
      <c r="N887" s="11">
        <f t="shared" si="34"/>
        <v>10</v>
      </c>
      <c r="O887" s="9"/>
      <c r="P887" s="9"/>
      <c r="Q887" s="9"/>
      <c r="R887" s="9"/>
      <c r="S887" s="9"/>
      <c r="T887" s="9"/>
      <c r="U887" s="9"/>
    </row>
    <row r="888" spans="2:21" x14ac:dyDescent="0.2">
      <c r="B888" t="s">
        <v>868</v>
      </c>
      <c r="C888" t="s">
        <v>869</v>
      </c>
      <c r="D888" t="s">
        <v>17</v>
      </c>
      <c r="E888" s="11"/>
      <c r="F888" s="9"/>
      <c r="G888" s="10">
        <v>1</v>
      </c>
      <c r="H888">
        <v>1</v>
      </c>
      <c r="I888">
        <v>0</v>
      </c>
      <c r="J888" s="9"/>
      <c r="K888" s="9">
        <v>10</v>
      </c>
      <c r="L888" s="1">
        <v>0</v>
      </c>
      <c r="M888" s="1">
        <f t="shared" si="33"/>
        <v>10</v>
      </c>
      <c r="N888" s="11">
        <f t="shared" si="34"/>
        <v>10</v>
      </c>
      <c r="O888" s="9"/>
      <c r="P888" s="9"/>
      <c r="Q888" s="9"/>
      <c r="R888" s="9"/>
      <c r="S888" s="9"/>
      <c r="T888" s="9"/>
      <c r="U888" s="9"/>
    </row>
    <row r="889" spans="2:21" x14ac:dyDescent="0.2">
      <c r="B889" t="s">
        <v>868</v>
      </c>
      <c r="C889" t="s">
        <v>870</v>
      </c>
      <c r="D889" t="s">
        <v>17</v>
      </c>
      <c r="E889" s="11"/>
      <c r="F889" s="9"/>
      <c r="G889" s="10">
        <v>3</v>
      </c>
      <c r="H889">
        <v>3</v>
      </c>
      <c r="I889">
        <v>0</v>
      </c>
      <c r="J889" s="9"/>
      <c r="K889" s="9">
        <v>2</v>
      </c>
      <c r="L889" s="1">
        <v>0</v>
      </c>
      <c r="M889" s="1">
        <f t="shared" ref="M889:M952" si="35">K889+L889</f>
        <v>2</v>
      </c>
      <c r="N889" s="11">
        <f t="shared" si="34"/>
        <v>6</v>
      </c>
      <c r="O889" s="9"/>
      <c r="P889" s="9"/>
      <c r="Q889" s="9"/>
      <c r="R889" s="9"/>
      <c r="S889" s="9"/>
      <c r="T889" s="9"/>
      <c r="U889" s="9"/>
    </row>
    <row r="890" spans="2:21" x14ac:dyDescent="0.2">
      <c r="B890" t="s">
        <v>871</v>
      </c>
      <c r="C890" t="s">
        <v>872</v>
      </c>
      <c r="D890" t="s">
        <v>91</v>
      </c>
      <c r="E890" s="11"/>
      <c r="F890" s="9"/>
      <c r="G890" s="10">
        <v>3</v>
      </c>
      <c r="H890">
        <v>3</v>
      </c>
      <c r="I890">
        <v>0</v>
      </c>
      <c r="J890" s="9"/>
      <c r="K890" s="9">
        <v>2</v>
      </c>
      <c r="L890" s="1">
        <v>0</v>
      </c>
      <c r="M890" s="1">
        <f t="shared" si="35"/>
        <v>2</v>
      </c>
      <c r="N890" s="11">
        <f t="shared" si="34"/>
        <v>6</v>
      </c>
      <c r="O890" s="9"/>
      <c r="P890" s="9"/>
      <c r="Q890" s="9"/>
      <c r="R890" s="9"/>
      <c r="S890" s="9"/>
      <c r="T890" s="9"/>
      <c r="U890" s="9"/>
    </row>
    <row r="891" spans="2:21" x14ac:dyDescent="0.2">
      <c r="B891" t="s">
        <v>670</v>
      </c>
      <c r="C891" t="s">
        <v>873</v>
      </c>
      <c r="D891" t="s">
        <v>97</v>
      </c>
      <c r="E891" s="11"/>
      <c r="F891" s="9"/>
      <c r="G891" s="10">
        <v>2</v>
      </c>
      <c r="H891">
        <v>2</v>
      </c>
      <c r="I891">
        <v>0</v>
      </c>
      <c r="J891" s="9"/>
      <c r="K891" s="9">
        <v>3</v>
      </c>
      <c r="L891" s="1">
        <v>0</v>
      </c>
      <c r="M891" s="1">
        <f t="shared" si="35"/>
        <v>3</v>
      </c>
      <c r="N891" s="11">
        <f t="shared" si="34"/>
        <v>6</v>
      </c>
      <c r="O891" s="9"/>
      <c r="P891" s="9"/>
      <c r="Q891" s="9"/>
      <c r="R891" s="9"/>
      <c r="S891" s="9"/>
      <c r="T891" s="9"/>
      <c r="U891" s="9"/>
    </row>
    <row r="892" spans="2:21" x14ac:dyDescent="0.2">
      <c r="B892" t="s">
        <v>670</v>
      </c>
      <c r="C892" t="s">
        <v>874</v>
      </c>
      <c r="D892" t="s">
        <v>97</v>
      </c>
      <c r="E892" s="11"/>
      <c r="F892" s="9"/>
      <c r="G892" s="10">
        <v>10</v>
      </c>
      <c r="H892">
        <v>10</v>
      </c>
      <c r="I892">
        <v>0</v>
      </c>
      <c r="J892" s="9"/>
      <c r="K892" s="9">
        <v>1</v>
      </c>
      <c r="L892" s="1">
        <v>0</v>
      </c>
      <c r="M892" s="1">
        <f t="shared" si="35"/>
        <v>1</v>
      </c>
      <c r="N892" s="11">
        <f t="shared" si="34"/>
        <v>10</v>
      </c>
      <c r="O892" s="9"/>
      <c r="P892" s="9"/>
      <c r="Q892" s="9"/>
      <c r="R892" s="9"/>
      <c r="S892" s="9"/>
      <c r="T892" s="9"/>
      <c r="U892" s="9"/>
    </row>
    <row r="893" spans="2:21" x14ac:dyDescent="0.2">
      <c r="B893" t="s">
        <v>670</v>
      </c>
      <c r="C893" t="s">
        <v>875</v>
      </c>
      <c r="D893" t="s">
        <v>97</v>
      </c>
      <c r="E893" s="11"/>
      <c r="F893" s="9"/>
      <c r="G893" s="10">
        <v>5</v>
      </c>
      <c r="H893">
        <v>5</v>
      </c>
      <c r="I893">
        <v>0</v>
      </c>
      <c r="J893" s="9"/>
      <c r="K893" s="9">
        <v>1.2</v>
      </c>
      <c r="L893" s="1">
        <v>0</v>
      </c>
      <c r="M893" s="1">
        <f t="shared" si="35"/>
        <v>1.2</v>
      </c>
      <c r="N893" s="11">
        <f t="shared" si="34"/>
        <v>6</v>
      </c>
      <c r="O893" s="9"/>
      <c r="P893" s="9"/>
      <c r="Q893" s="9"/>
      <c r="R893" s="9"/>
      <c r="S893" s="9"/>
      <c r="T893" s="9"/>
      <c r="U893" s="9"/>
    </row>
    <row r="894" spans="2:21" x14ac:dyDescent="0.2">
      <c r="B894" t="s">
        <v>868</v>
      </c>
      <c r="C894" t="s">
        <v>875</v>
      </c>
      <c r="D894" t="s">
        <v>34</v>
      </c>
      <c r="E894" s="11"/>
      <c r="F894" s="9"/>
      <c r="G894" s="10">
        <v>10</v>
      </c>
      <c r="H894">
        <v>10</v>
      </c>
      <c r="I894">
        <v>0</v>
      </c>
      <c r="J894" s="9"/>
      <c r="K894" s="9">
        <v>1.2</v>
      </c>
      <c r="L894" s="1">
        <v>0</v>
      </c>
      <c r="M894" s="1">
        <f t="shared" si="35"/>
        <v>1.2</v>
      </c>
      <c r="N894" s="11">
        <f t="shared" si="34"/>
        <v>12</v>
      </c>
      <c r="O894" s="9"/>
      <c r="P894" s="9"/>
      <c r="Q894" s="9"/>
      <c r="R894" s="9"/>
      <c r="S894" s="9"/>
      <c r="T894" s="9"/>
      <c r="U894" s="9"/>
    </row>
    <row r="895" spans="2:21" x14ac:dyDescent="0.2">
      <c r="B895" t="s">
        <v>868</v>
      </c>
      <c r="C895" t="s">
        <v>875</v>
      </c>
      <c r="D895" t="s">
        <v>17</v>
      </c>
      <c r="E895" s="11"/>
      <c r="F895" s="9"/>
      <c r="G895" s="10">
        <v>5</v>
      </c>
      <c r="H895">
        <v>5</v>
      </c>
      <c r="I895">
        <v>0</v>
      </c>
      <c r="J895" s="9"/>
      <c r="K895" s="9">
        <v>1.2</v>
      </c>
      <c r="L895" s="1">
        <v>0</v>
      </c>
      <c r="M895" s="1">
        <f t="shared" si="35"/>
        <v>1.2</v>
      </c>
      <c r="N895" s="11">
        <f t="shared" si="34"/>
        <v>6</v>
      </c>
      <c r="O895" s="9"/>
      <c r="P895" s="9"/>
      <c r="Q895" s="9"/>
      <c r="R895" s="9"/>
      <c r="S895" s="9"/>
      <c r="T895" s="9"/>
      <c r="U895" s="9"/>
    </row>
    <row r="896" spans="2:21" x14ac:dyDescent="0.2">
      <c r="B896" t="s">
        <v>871</v>
      </c>
      <c r="C896" t="s">
        <v>876</v>
      </c>
      <c r="D896" t="s">
        <v>91</v>
      </c>
      <c r="E896" s="11"/>
      <c r="F896" s="9"/>
      <c r="G896" s="10">
        <v>5</v>
      </c>
      <c r="H896">
        <v>5</v>
      </c>
      <c r="I896">
        <v>0</v>
      </c>
      <c r="J896" s="9"/>
      <c r="K896" s="9">
        <v>1.2</v>
      </c>
      <c r="L896" s="1">
        <v>0</v>
      </c>
      <c r="M896" s="1">
        <f t="shared" si="35"/>
        <v>1.2</v>
      </c>
      <c r="N896" s="11">
        <f t="shared" si="34"/>
        <v>6</v>
      </c>
      <c r="O896" s="9"/>
      <c r="P896" s="9"/>
      <c r="Q896" s="9"/>
      <c r="R896" s="9"/>
      <c r="S896" s="9"/>
      <c r="T896" s="9"/>
      <c r="U896" s="9"/>
    </row>
    <row r="897" spans="2:21" x14ac:dyDescent="0.2">
      <c r="B897" t="s">
        <v>84</v>
      </c>
      <c r="C897" t="s">
        <v>877</v>
      </c>
      <c r="D897" t="s">
        <v>878</v>
      </c>
      <c r="E897" s="11"/>
      <c r="F897" s="9"/>
      <c r="G897" s="10">
        <v>1</v>
      </c>
      <c r="H897">
        <v>1</v>
      </c>
      <c r="I897">
        <v>0</v>
      </c>
      <c r="J897" s="9"/>
      <c r="K897" s="9">
        <v>2.2000000000000002</v>
      </c>
      <c r="L897" s="1">
        <v>0</v>
      </c>
      <c r="M897" s="1">
        <f t="shared" si="35"/>
        <v>2.2000000000000002</v>
      </c>
      <c r="N897" s="11">
        <f t="shared" si="34"/>
        <v>2.2000000000000002</v>
      </c>
      <c r="O897" s="9">
        <v>5</v>
      </c>
      <c r="P897" s="9"/>
      <c r="Q897" s="9"/>
      <c r="R897" s="9"/>
      <c r="S897" s="9"/>
      <c r="T897" s="9"/>
      <c r="U897" s="9"/>
    </row>
    <row r="898" spans="2:21" x14ac:dyDescent="0.2">
      <c r="B898" t="s">
        <v>84</v>
      </c>
      <c r="C898" t="s">
        <v>879</v>
      </c>
      <c r="D898" t="s">
        <v>880</v>
      </c>
      <c r="E898" s="11"/>
      <c r="F898" s="9"/>
      <c r="G898" s="10">
        <v>5</v>
      </c>
      <c r="H898">
        <v>5</v>
      </c>
      <c r="I898">
        <v>0</v>
      </c>
      <c r="J898" s="9"/>
      <c r="K898" s="9">
        <v>2.2000000000000002</v>
      </c>
      <c r="L898" s="1">
        <v>0</v>
      </c>
      <c r="M898" s="1">
        <f t="shared" si="35"/>
        <v>2.2000000000000002</v>
      </c>
      <c r="N898" s="11">
        <f t="shared" si="34"/>
        <v>11</v>
      </c>
      <c r="O898" s="9">
        <v>5</v>
      </c>
      <c r="P898" s="9"/>
      <c r="Q898" s="9"/>
      <c r="R898" s="9"/>
      <c r="S898" s="9"/>
      <c r="T898" s="9"/>
      <c r="U898" s="9"/>
    </row>
    <row r="899" spans="2:21" x14ac:dyDescent="0.2">
      <c r="B899" t="s">
        <v>84</v>
      </c>
      <c r="C899" t="s">
        <v>881</v>
      </c>
      <c r="D899" t="s">
        <v>882</v>
      </c>
      <c r="E899" s="11"/>
      <c r="F899" s="9"/>
      <c r="G899" s="10">
        <v>5</v>
      </c>
      <c r="H899">
        <v>5</v>
      </c>
      <c r="I899">
        <v>0</v>
      </c>
      <c r="J899" s="9"/>
      <c r="K899" s="9">
        <v>2.2000000000000002</v>
      </c>
      <c r="L899" s="1">
        <v>0</v>
      </c>
      <c r="M899" s="1">
        <f t="shared" si="35"/>
        <v>2.2000000000000002</v>
      </c>
      <c r="N899" s="11">
        <f t="shared" ref="N899:N962" si="36">G899*K899</f>
        <v>11</v>
      </c>
      <c r="O899" s="9">
        <v>5</v>
      </c>
      <c r="P899" s="9"/>
      <c r="Q899" s="9"/>
      <c r="R899" s="9"/>
      <c r="S899" s="9"/>
      <c r="T899" s="9"/>
      <c r="U899" s="9"/>
    </row>
    <row r="900" spans="2:21" x14ac:dyDescent="0.2">
      <c r="B900" t="s">
        <v>32</v>
      </c>
      <c r="C900" t="s">
        <v>883</v>
      </c>
      <c r="D900" t="s">
        <v>17</v>
      </c>
      <c r="E900" s="11"/>
      <c r="F900" s="9"/>
      <c r="G900" s="10">
        <v>1</v>
      </c>
      <c r="H900">
        <v>1</v>
      </c>
      <c r="I900">
        <v>0</v>
      </c>
      <c r="J900" s="9"/>
      <c r="K900" s="9">
        <v>10</v>
      </c>
      <c r="L900" s="1">
        <v>0</v>
      </c>
      <c r="M900" s="1">
        <f t="shared" si="35"/>
        <v>10</v>
      </c>
      <c r="N900" s="11">
        <f t="shared" si="36"/>
        <v>10</v>
      </c>
      <c r="O900" s="9">
        <v>35</v>
      </c>
      <c r="P900" s="9"/>
      <c r="Q900" s="9"/>
      <c r="R900" s="9"/>
      <c r="S900" s="9"/>
      <c r="T900" s="9"/>
      <c r="U900" s="9"/>
    </row>
    <row r="901" spans="2:21" x14ac:dyDescent="0.2">
      <c r="B901" t="s">
        <v>32</v>
      </c>
      <c r="C901" t="s">
        <v>883</v>
      </c>
      <c r="D901" t="s">
        <v>34</v>
      </c>
      <c r="E901" s="11"/>
      <c r="F901" s="9"/>
      <c r="G901" s="10">
        <v>1</v>
      </c>
      <c r="H901">
        <v>1</v>
      </c>
      <c r="I901">
        <v>0</v>
      </c>
      <c r="J901" s="9"/>
      <c r="K901" s="9">
        <v>10</v>
      </c>
      <c r="L901" s="1">
        <v>0</v>
      </c>
      <c r="M901" s="1">
        <f t="shared" si="35"/>
        <v>10</v>
      </c>
      <c r="N901" s="11">
        <f t="shared" si="36"/>
        <v>10</v>
      </c>
      <c r="O901" s="9">
        <v>35</v>
      </c>
      <c r="P901" s="9"/>
      <c r="Q901" s="9"/>
      <c r="R901" s="9"/>
      <c r="S901" s="9"/>
      <c r="T901" s="9"/>
      <c r="U901" s="9"/>
    </row>
    <row r="902" spans="2:21" x14ac:dyDescent="0.2">
      <c r="B902" t="s">
        <v>32</v>
      </c>
      <c r="C902" t="s">
        <v>884</v>
      </c>
      <c r="D902" t="s">
        <v>17</v>
      </c>
      <c r="E902" s="11"/>
      <c r="F902" s="9"/>
      <c r="G902" s="10">
        <v>1</v>
      </c>
      <c r="H902">
        <v>1</v>
      </c>
      <c r="I902">
        <v>0</v>
      </c>
      <c r="J902" s="9"/>
      <c r="K902" s="9">
        <v>10</v>
      </c>
      <c r="L902" s="1">
        <v>0</v>
      </c>
      <c r="M902" s="1">
        <f t="shared" si="35"/>
        <v>10</v>
      </c>
      <c r="N902" s="11">
        <f t="shared" si="36"/>
        <v>10</v>
      </c>
      <c r="O902" s="9">
        <v>30</v>
      </c>
      <c r="P902" s="9"/>
      <c r="Q902" s="9"/>
      <c r="R902" s="9"/>
      <c r="S902" s="9"/>
      <c r="T902" s="9"/>
      <c r="U902" s="9"/>
    </row>
    <row r="903" spans="2:21" x14ac:dyDescent="0.2">
      <c r="B903" t="s">
        <v>32</v>
      </c>
      <c r="C903" t="s">
        <v>885</v>
      </c>
      <c r="D903" t="s">
        <v>17</v>
      </c>
      <c r="E903" s="11"/>
      <c r="F903" s="9"/>
      <c r="G903" s="10">
        <v>1</v>
      </c>
      <c r="H903">
        <v>1</v>
      </c>
      <c r="I903">
        <v>0</v>
      </c>
      <c r="J903" s="9"/>
      <c r="K903" s="9">
        <v>10</v>
      </c>
      <c r="L903" s="1">
        <v>0</v>
      </c>
      <c r="M903" s="1">
        <f t="shared" si="35"/>
        <v>10</v>
      </c>
      <c r="N903" s="11">
        <f t="shared" si="36"/>
        <v>10</v>
      </c>
      <c r="O903" s="9">
        <v>35</v>
      </c>
      <c r="P903" s="9"/>
      <c r="Q903" s="9"/>
      <c r="R903" s="9"/>
      <c r="S903" s="9"/>
      <c r="T903" s="9"/>
      <c r="U903" s="9"/>
    </row>
    <row r="904" spans="2:21" x14ac:dyDescent="0.2">
      <c r="B904" t="s">
        <v>32</v>
      </c>
      <c r="C904" t="s">
        <v>886</v>
      </c>
      <c r="D904" t="s">
        <v>34</v>
      </c>
      <c r="E904" s="11"/>
      <c r="F904" s="9"/>
      <c r="G904" s="10">
        <v>2</v>
      </c>
      <c r="H904">
        <v>2</v>
      </c>
      <c r="I904">
        <v>0</v>
      </c>
      <c r="J904" s="9"/>
      <c r="K904" s="9">
        <v>10</v>
      </c>
      <c r="L904" s="1">
        <v>0</v>
      </c>
      <c r="M904" s="1">
        <f t="shared" si="35"/>
        <v>10</v>
      </c>
      <c r="N904" s="11">
        <f t="shared" si="36"/>
        <v>20</v>
      </c>
      <c r="O904" s="9">
        <v>35</v>
      </c>
      <c r="P904" s="9"/>
      <c r="Q904" s="9"/>
      <c r="R904" s="9"/>
      <c r="S904" s="9"/>
      <c r="T904" s="9"/>
      <c r="U904" s="9"/>
    </row>
    <row r="905" spans="2:21" x14ac:dyDescent="0.2">
      <c r="B905" t="s">
        <v>32</v>
      </c>
      <c r="C905" t="s">
        <v>887</v>
      </c>
      <c r="D905" t="s">
        <v>17</v>
      </c>
      <c r="E905" s="11"/>
      <c r="F905" s="9"/>
      <c r="G905" s="10">
        <v>1</v>
      </c>
      <c r="H905">
        <v>1</v>
      </c>
      <c r="I905">
        <v>0</v>
      </c>
      <c r="J905" s="9"/>
      <c r="K905" s="9">
        <v>10</v>
      </c>
      <c r="L905" s="1">
        <v>0</v>
      </c>
      <c r="M905" s="1">
        <f t="shared" si="35"/>
        <v>10</v>
      </c>
      <c r="N905" s="11">
        <f t="shared" si="36"/>
        <v>10</v>
      </c>
      <c r="O905" s="9">
        <v>30</v>
      </c>
      <c r="P905" s="9"/>
      <c r="Q905" s="9"/>
      <c r="R905" s="9"/>
      <c r="S905" s="9"/>
      <c r="T905" s="9"/>
      <c r="U905" s="9"/>
    </row>
    <row r="906" spans="2:21" x14ac:dyDescent="0.2">
      <c r="B906" t="s">
        <v>32</v>
      </c>
      <c r="C906" t="s">
        <v>888</v>
      </c>
      <c r="D906" t="s">
        <v>17</v>
      </c>
      <c r="E906" s="11"/>
      <c r="F906" s="9"/>
      <c r="G906" s="10">
        <v>1</v>
      </c>
      <c r="H906">
        <v>1</v>
      </c>
      <c r="I906">
        <v>0</v>
      </c>
      <c r="J906" s="9"/>
      <c r="K906" s="9">
        <v>10</v>
      </c>
      <c r="L906" s="1">
        <v>0</v>
      </c>
      <c r="M906" s="1">
        <f t="shared" si="35"/>
        <v>10</v>
      </c>
      <c r="N906" s="11">
        <f t="shared" si="36"/>
        <v>10</v>
      </c>
      <c r="O906" s="9">
        <v>30</v>
      </c>
      <c r="P906" s="9"/>
      <c r="Q906" s="9"/>
      <c r="R906" s="9"/>
      <c r="S906" s="9"/>
      <c r="T906" s="9"/>
      <c r="U906" s="9"/>
    </row>
    <row r="907" spans="2:21" x14ac:dyDescent="0.2">
      <c r="B907" t="s">
        <v>725</v>
      </c>
      <c r="C907" t="s">
        <v>889</v>
      </c>
      <c r="D907" t="s">
        <v>97</v>
      </c>
      <c r="E907" s="11"/>
      <c r="F907" s="9"/>
      <c r="G907" s="10">
        <v>1</v>
      </c>
      <c r="H907">
        <v>1</v>
      </c>
      <c r="I907">
        <v>0</v>
      </c>
      <c r="J907" s="9"/>
      <c r="K907" s="9">
        <v>10</v>
      </c>
      <c r="L907" s="1">
        <v>0</v>
      </c>
      <c r="M907" s="1">
        <f t="shared" si="35"/>
        <v>10</v>
      </c>
      <c r="N907" s="11">
        <f t="shared" si="36"/>
        <v>10</v>
      </c>
      <c r="O907" s="9">
        <v>35</v>
      </c>
      <c r="P907" s="9"/>
      <c r="Q907" s="9"/>
      <c r="R907" s="9"/>
      <c r="S907" s="9"/>
      <c r="T907" s="9"/>
      <c r="U907" s="9"/>
    </row>
    <row r="908" spans="2:21" x14ac:dyDescent="0.2">
      <c r="B908" t="s">
        <v>836</v>
      </c>
      <c r="C908" t="s">
        <v>890</v>
      </c>
      <c r="D908" t="s">
        <v>27</v>
      </c>
      <c r="E908" s="11"/>
      <c r="F908" s="9"/>
      <c r="G908" s="10">
        <v>1</v>
      </c>
      <c r="H908">
        <v>1</v>
      </c>
      <c r="I908">
        <v>0</v>
      </c>
      <c r="J908" s="9"/>
      <c r="K908" s="9">
        <v>10</v>
      </c>
      <c r="L908" s="1">
        <v>0</v>
      </c>
      <c r="M908" s="1">
        <f t="shared" si="35"/>
        <v>10</v>
      </c>
      <c r="N908" s="11">
        <f t="shared" si="36"/>
        <v>10</v>
      </c>
      <c r="O908" s="9">
        <v>35</v>
      </c>
      <c r="P908" s="9"/>
      <c r="Q908" s="9"/>
      <c r="R908" s="9"/>
      <c r="S908" s="9"/>
      <c r="T908" s="9"/>
      <c r="U908" s="9"/>
    </row>
    <row r="909" spans="2:21" x14ac:dyDescent="0.2">
      <c r="B909" t="s">
        <v>32</v>
      </c>
      <c r="C909" t="s">
        <v>891</v>
      </c>
      <c r="D909" t="s">
        <v>17</v>
      </c>
      <c r="E909" s="11"/>
      <c r="F909" s="9"/>
      <c r="G909" s="10">
        <v>1</v>
      </c>
      <c r="H909">
        <v>1</v>
      </c>
      <c r="I909">
        <v>0</v>
      </c>
      <c r="J909" s="9"/>
      <c r="K909" s="9">
        <v>10</v>
      </c>
      <c r="L909" s="1">
        <v>0</v>
      </c>
      <c r="M909" s="1">
        <f t="shared" si="35"/>
        <v>10</v>
      </c>
      <c r="N909" s="11">
        <f t="shared" si="36"/>
        <v>10</v>
      </c>
      <c r="O909" s="9">
        <v>30</v>
      </c>
      <c r="P909" s="9"/>
      <c r="Q909" s="9"/>
      <c r="R909" s="9"/>
      <c r="S909" s="9"/>
      <c r="T909" s="9"/>
      <c r="U909" s="9"/>
    </row>
    <row r="910" spans="2:21" x14ac:dyDescent="0.2">
      <c r="B910" t="s">
        <v>32</v>
      </c>
      <c r="C910" t="s">
        <v>892</v>
      </c>
      <c r="D910" t="s">
        <v>34</v>
      </c>
      <c r="E910" s="11"/>
      <c r="F910" s="9"/>
      <c r="G910" s="10">
        <v>1</v>
      </c>
      <c r="H910">
        <v>1</v>
      </c>
      <c r="I910">
        <v>0</v>
      </c>
      <c r="J910" s="9"/>
      <c r="K910" s="9">
        <v>10</v>
      </c>
      <c r="L910" s="1">
        <v>0</v>
      </c>
      <c r="M910" s="1">
        <f t="shared" si="35"/>
        <v>10</v>
      </c>
      <c r="N910" s="11">
        <f t="shared" si="36"/>
        <v>10</v>
      </c>
      <c r="O910" s="9">
        <v>35</v>
      </c>
      <c r="P910" s="9"/>
      <c r="Q910" s="9"/>
      <c r="R910" s="9"/>
      <c r="S910" s="9"/>
      <c r="T910" s="9"/>
      <c r="U910" s="9"/>
    </row>
    <row r="911" spans="2:21" x14ac:dyDescent="0.2">
      <c r="B911" t="s">
        <v>836</v>
      </c>
      <c r="C911" t="s">
        <v>893</v>
      </c>
      <c r="D911" t="s">
        <v>27</v>
      </c>
      <c r="E911" s="11"/>
      <c r="F911" s="9"/>
      <c r="G911" s="10">
        <v>1</v>
      </c>
      <c r="H911">
        <v>1</v>
      </c>
      <c r="I911">
        <v>0</v>
      </c>
      <c r="J911" s="9"/>
      <c r="K911" s="9">
        <v>10</v>
      </c>
      <c r="L911" s="1">
        <v>0</v>
      </c>
      <c r="M911" s="1">
        <f t="shared" si="35"/>
        <v>10</v>
      </c>
      <c r="N911" s="11">
        <f t="shared" si="36"/>
        <v>10</v>
      </c>
      <c r="O911" s="9">
        <v>30</v>
      </c>
      <c r="P911" s="9"/>
      <c r="Q911" s="9"/>
      <c r="R911" s="9"/>
      <c r="S911" s="9"/>
      <c r="T911" s="9"/>
      <c r="U911" s="9"/>
    </row>
    <row r="912" spans="2:21" x14ac:dyDescent="0.2">
      <c r="B912" t="s">
        <v>32</v>
      </c>
      <c r="C912" t="s">
        <v>894</v>
      </c>
      <c r="D912" t="s">
        <v>34</v>
      </c>
      <c r="E912" s="11"/>
      <c r="F912" s="9"/>
      <c r="G912" s="10">
        <v>1</v>
      </c>
      <c r="H912">
        <v>1</v>
      </c>
      <c r="I912">
        <v>0</v>
      </c>
      <c r="J912" s="9"/>
      <c r="K912" s="9">
        <v>10</v>
      </c>
      <c r="L912" s="1">
        <v>0</v>
      </c>
      <c r="M912" s="1">
        <f t="shared" si="35"/>
        <v>10</v>
      </c>
      <c r="N912" s="11">
        <f t="shared" si="36"/>
        <v>10</v>
      </c>
      <c r="O912" s="9">
        <v>30</v>
      </c>
      <c r="P912" s="9"/>
      <c r="Q912" s="9"/>
      <c r="R912" s="9"/>
      <c r="S912" s="9"/>
      <c r="T912" s="9"/>
      <c r="U912" s="9"/>
    </row>
    <row r="913" spans="2:21" x14ac:dyDescent="0.2">
      <c r="B913" t="s">
        <v>90</v>
      </c>
      <c r="C913" t="s">
        <v>895</v>
      </c>
      <c r="D913" t="s">
        <v>91</v>
      </c>
      <c r="E913" s="11"/>
      <c r="F913" s="9"/>
      <c r="G913" s="10">
        <v>1</v>
      </c>
      <c r="H913">
        <v>1</v>
      </c>
      <c r="I913">
        <v>0</v>
      </c>
      <c r="J913" s="9"/>
      <c r="K913" s="9">
        <v>10</v>
      </c>
      <c r="L913" s="1">
        <v>0</v>
      </c>
      <c r="M913" s="1">
        <f t="shared" si="35"/>
        <v>10</v>
      </c>
      <c r="N913" s="11">
        <f t="shared" si="36"/>
        <v>10</v>
      </c>
      <c r="O913" s="9">
        <v>30</v>
      </c>
      <c r="P913" s="9"/>
      <c r="Q913" s="9"/>
      <c r="R913" s="9"/>
      <c r="S913" s="9"/>
      <c r="T913" s="9"/>
      <c r="U913" s="9"/>
    </row>
    <row r="914" spans="2:21" x14ac:dyDescent="0.2">
      <c r="B914" t="s">
        <v>32</v>
      </c>
      <c r="C914" t="s">
        <v>896</v>
      </c>
      <c r="D914" t="s">
        <v>34</v>
      </c>
      <c r="E914" s="11"/>
      <c r="F914" s="9"/>
      <c r="G914" s="10">
        <v>1</v>
      </c>
      <c r="H914">
        <v>1</v>
      </c>
      <c r="I914">
        <v>0</v>
      </c>
      <c r="J914" s="9"/>
      <c r="K914" s="9">
        <v>10</v>
      </c>
      <c r="L914" s="1">
        <v>0</v>
      </c>
      <c r="M914" s="1">
        <f t="shared" si="35"/>
        <v>10</v>
      </c>
      <c r="N914" s="11">
        <f t="shared" si="36"/>
        <v>10</v>
      </c>
      <c r="O914" s="9">
        <v>28</v>
      </c>
      <c r="P914" s="9"/>
      <c r="Q914" s="9"/>
      <c r="R914" s="9"/>
      <c r="S914" s="9"/>
      <c r="T914" s="9"/>
      <c r="U914" s="9"/>
    </row>
    <row r="915" spans="2:21" x14ac:dyDescent="0.2">
      <c r="B915" t="s">
        <v>90</v>
      </c>
      <c r="C915" t="s">
        <v>897</v>
      </c>
      <c r="D915" t="s">
        <v>95</v>
      </c>
      <c r="E915" s="11"/>
      <c r="F915" s="9"/>
      <c r="G915" s="10">
        <v>1</v>
      </c>
      <c r="H915">
        <v>1</v>
      </c>
      <c r="I915">
        <v>0</v>
      </c>
      <c r="J915" s="9"/>
      <c r="K915" s="9">
        <v>10</v>
      </c>
      <c r="L915" s="1">
        <v>0</v>
      </c>
      <c r="M915" s="1">
        <f t="shared" si="35"/>
        <v>10</v>
      </c>
      <c r="N915" s="11">
        <f t="shared" si="36"/>
        <v>10</v>
      </c>
      <c r="O915" s="9">
        <v>30</v>
      </c>
      <c r="P915" s="9"/>
      <c r="Q915" s="9"/>
      <c r="R915" s="9"/>
      <c r="S915" s="9"/>
      <c r="T915" s="9"/>
      <c r="U915" s="9"/>
    </row>
    <row r="916" spans="2:21" x14ac:dyDescent="0.2">
      <c r="B916" t="s">
        <v>90</v>
      </c>
      <c r="C916" t="s">
        <v>898</v>
      </c>
      <c r="D916" t="s">
        <v>91</v>
      </c>
      <c r="E916" s="11"/>
      <c r="F916" s="9"/>
      <c r="G916" s="10">
        <v>1</v>
      </c>
      <c r="H916">
        <v>1</v>
      </c>
      <c r="I916">
        <v>0</v>
      </c>
      <c r="J916" s="9"/>
      <c r="K916" s="9">
        <v>10</v>
      </c>
      <c r="L916" s="1">
        <v>0</v>
      </c>
      <c r="M916" s="1">
        <f t="shared" si="35"/>
        <v>10</v>
      </c>
      <c r="N916" s="11">
        <f t="shared" si="36"/>
        <v>10</v>
      </c>
      <c r="O916" s="9">
        <v>30</v>
      </c>
      <c r="P916" s="9"/>
      <c r="Q916" s="9"/>
      <c r="R916" s="9"/>
      <c r="S916" s="9"/>
      <c r="T916" s="9"/>
      <c r="U916" s="9"/>
    </row>
    <row r="917" spans="2:21" x14ac:dyDescent="0.2">
      <c r="B917" t="s">
        <v>315</v>
      </c>
      <c r="C917" t="s">
        <v>342</v>
      </c>
      <c r="D917" t="s">
        <v>27</v>
      </c>
      <c r="G917">
        <v>1</v>
      </c>
      <c r="H917">
        <v>0</v>
      </c>
      <c r="I917">
        <v>1</v>
      </c>
      <c r="K917" s="9">
        <v>8</v>
      </c>
      <c r="L917" s="1">
        <v>0</v>
      </c>
      <c r="M917" s="1">
        <f t="shared" si="35"/>
        <v>8</v>
      </c>
      <c r="N917" s="11">
        <f t="shared" si="36"/>
        <v>8</v>
      </c>
    </row>
    <row r="918" spans="2:21" x14ac:dyDescent="0.2">
      <c r="B918" t="s">
        <v>277</v>
      </c>
      <c r="C918" t="s">
        <v>899</v>
      </c>
      <c r="D918" t="s">
        <v>17</v>
      </c>
      <c r="G918">
        <v>3</v>
      </c>
      <c r="H918">
        <v>0</v>
      </c>
      <c r="I918">
        <f>G918</f>
        <v>3</v>
      </c>
      <c r="K918" s="9">
        <v>8</v>
      </c>
      <c r="L918" s="1">
        <v>0</v>
      </c>
      <c r="M918" s="1">
        <f t="shared" si="35"/>
        <v>8</v>
      </c>
      <c r="N918" s="11">
        <f t="shared" si="36"/>
        <v>24</v>
      </c>
    </row>
    <row r="919" spans="2:21" x14ac:dyDescent="0.2">
      <c r="B919" t="s">
        <v>277</v>
      </c>
      <c r="C919" t="s">
        <v>900</v>
      </c>
      <c r="D919" t="s">
        <v>17</v>
      </c>
      <c r="G919">
        <v>1</v>
      </c>
      <c r="H919">
        <v>0</v>
      </c>
      <c r="I919">
        <f t="shared" ref="I919:I958" si="37">G919</f>
        <v>1</v>
      </c>
      <c r="K919" s="9">
        <v>8</v>
      </c>
      <c r="L919" s="1">
        <v>0</v>
      </c>
      <c r="M919" s="1">
        <f t="shared" si="35"/>
        <v>8</v>
      </c>
      <c r="N919" s="11">
        <f t="shared" si="36"/>
        <v>8</v>
      </c>
    </row>
    <row r="920" spans="2:21" x14ac:dyDescent="0.2">
      <c r="B920" t="s">
        <v>277</v>
      </c>
      <c r="C920" t="s">
        <v>371</v>
      </c>
      <c r="D920" t="s">
        <v>17</v>
      </c>
      <c r="G920">
        <v>1</v>
      </c>
      <c r="H920">
        <v>0</v>
      </c>
      <c r="I920">
        <f t="shared" si="37"/>
        <v>1</v>
      </c>
      <c r="K920" s="9">
        <v>8</v>
      </c>
      <c r="L920" s="1">
        <v>0</v>
      </c>
      <c r="M920" s="1">
        <f t="shared" si="35"/>
        <v>8</v>
      </c>
      <c r="N920" s="11">
        <f t="shared" si="36"/>
        <v>8</v>
      </c>
    </row>
    <row r="921" spans="2:21" x14ac:dyDescent="0.2">
      <c r="B921" t="s">
        <v>277</v>
      </c>
      <c r="C921" t="s">
        <v>326</v>
      </c>
      <c r="D921" t="s">
        <v>17</v>
      </c>
      <c r="G921">
        <v>1</v>
      </c>
      <c r="H921">
        <v>0</v>
      </c>
      <c r="I921">
        <f t="shared" si="37"/>
        <v>1</v>
      </c>
      <c r="K921" s="9">
        <v>8</v>
      </c>
      <c r="L921" s="1">
        <v>0</v>
      </c>
      <c r="M921" s="1">
        <f t="shared" si="35"/>
        <v>8</v>
      </c>
      <c r="N921" s="11">
        <f t="shared" si="36"/>
        <v>8</v>
      </c>
    </row>
    <row r="922" spans="2:21" x14ac:dyDescent="0.2">
      <c r="B922" t="s">
        <v>277</v>
      </c>
      <c r="C922" t="s">
        <v>901</v>
      </c>
      <c r="D922" t="s">
        <v>17</v>
      </c>
      <c r="G922">
        <v>3</v>
      </c>
      <c r="H922">
        <v>0</v>
      </c>
      <c r="I922">
        <f t="shared" si="37"/>
        <v>3</v>
      </c>
      <c r="K922" s="9">
        <v>8</v>
      </c>
      <c r="L922" s="1">
        <v>0</v>
      </c>
      <c r="M922" s="1">
        <f t="shared" si="35"/>
        <v>8</v>
      </c>
      <c r="N922" s="11">
        <f t="shared" si="36"/>
        <v>24</v>
      </c>
    </row>
    <row r="923" spans="2:21" x14ac:dyDescent="0.2">
      <c r="B923" t="s">
        <v>315</v>
      </c>
      <c r="C923" t="s">
        <v>901</v>
      </c>
      <c r="D923" t="s">
        <v>27</v>
      </c>
      <c r="G923">
        <v>2</v>
      </c>
      <c r="H923">
        <v>0</v>
      </c>
      <c r="I923">
        <f t="shared" si="37"/>
        <v>2</v>
      </c>
      <c r="K923" s="9">
        <v>8</v>
      </c>
      <c r="L923" s="1">
        <v>0</v>
      </c>
      <c r="M923" s="1">
        <f t="shared" si="35"/>
        <v>8</v>
      </c>
      <c r="N923" s="11">
        <f t="shared" si="36"/>
        <v>16</v>
      </c>
    </row>
    <row r="924" spans="2:21" x14ac:dyDescent="0.2">
      <c r="B924" t="s">
        <v>277</v>
      </c>
      <c r="C924" t="s">
        <v>902</v>
      </c>
      <c r="D924" t="s">
        <v>17</v>
      </c>
      <c r="G924">
        <v>1</v>
      </c>
      <c r="H924">
        <v>0</v>
      </c>
      <c r="I924">
        <f t="shared" si="37"/>
        <v>1</v>
      </c>
      <c r="K924" s="9">
        <v>8</v>
      </c>
      <c r="L924" s="1">
        <v>0</v>
      </c>
      <c r="M924" s="1">
        <f t="shared" si="35"/>
        <v>8</v>
      </c>
      <c r="N924" s="11">
        <f t="shared" si="36"/>
        <v>8</v>
      </c>
    </row>
    <row r="925" spans="2:21" x14ac:dyDescent="0.2">
      <c r="B925" t="s">
        <v>315</v>
      </c>
      <c r="C925" t="s">
        <v>326</v>
      </c>
      <c r="D925" t="s">
        <v>27</v>
      </c>
      <c r="G925">
        <v>1</v>
      </c>
      <c r="H925">
        <v>0</v>
      </c>
      <c r="I925">
        <f t="shared" si="37"/>
        <v>1</v>
      </c>
      <c r="K925" s="9">
        <v>8</v>
      </c>
      <c r="L925" s="1">
        <v>0</v>
      </c>
      <c r="M925" s="1">
        <f t="shared" si="35"/>
        <v>8</v>
      </c>
      <c r="N925" s="11">
        <f t="shared" si="36"/>
        <v>8</v>
      </c>
    </row>
    <row r="926" spans="2:21" x14ac:dyDescent="0.2">
      <c r="B926" t="s">
        <v>277</v>
      </c>
      <c r="C926" t="s">
        <v>903</v>
      </c>
      <c r="D926" t="s">
        <v>17</v>
      </c>
      <c r="G926">
        <v>1</v>
      </c>
      <c r="H926">
        <v>0</v>
      </c>
      <c r="I926">
        <f t="shared" si="37"/>
        <v>1</v>
      </c>
      <c r="K926" s="9">
        <v>8</v>
      </c>
      <c r="L926" s="1">
        <v>0</v>
      </c>
      <c r="M926" s="1">
        <f t="shared" si="35"/>
        <v>8</v>
      </c>
      <c r="N926" s="11">
        <f t="shared" si="36"/>
        <v>8</v>
      </c>
    </row>
    <row r="927" spans="2:21" x14ac:dyDescent="0.2">
      <c r="B927" t="s">
        <v>277</v>
      </c>
      <c r="C927" t="s">
        <v>904</v>
      </c>
      <c r="D927" t="s">
        <v>17</v>
      </c>
      <c r="G927">
        <v>1</v>
      </c>
      <c r="H927">
        <v>0</v>
      </c>
      <c r="I927">
        <f t="shared" si="37"/>
        <v>1</v>
      </c>
      <c r="K927" s="9">
        <v>8</v>
      </c>
      <c r="L927" s="1">
        <v>0</v>
      </c>
      <c r="M927" s="1">
        <f t="shared" si="35"/>
        <v>8</v>
      </c>
      <c r="N927" s="11">
        <f t="shared" si="36"/>
        <v>8</v>
      </c>
    </row>
    <row r="928" spans="2:21" x14ac:dyDescent="0.2">
      <c r="B928" t="s">
        <v>277</v>
      </c>
      <c r="C928" t="s">
        <v>905</v>
      </c>
      <c r="D928" t="s">
        <v>17</v>
      </c>
      <c r="G928">
        <v>1</v>
      </c>
      <c r="H928">
        <v>0</v>
      </c>
      <c r="I928">
        <f t="shared" si="37"/>
        <v>1</v>
      </c>
      <c r="K928" s="9">
        <v>8</v>
      </c>
      <c r="L928" s="1">
        <v>0</v>
      </c>
      <c r="M928" s="1">
        <f t="shared" si="35"/>
        <v>8</v>
      </c>
      <c r="N928" s="11">
        <f t="shared" si="36"/>
        <v>8</v>
      </c>
    </row>
    <row r="929" spans="2:14" x14ac:dyDescent="0.2">
      <c r="B929" t="s">
        <v>277</v>
      </c>
      <c r="C929" t="s">
        <v>906</v>
      </c>
      <c r="D929" t="s">
        <v>17</v>
      </c>
      <c r="G929">
        <v>1</v>
      </c>
      <c r="H929">
        <v>0</v>
      </c>
      <c r="I929">
        <f t="shared" si="37"/>
        <v>1</v>
      </c>
      <c r="K929" s="9">
        <v>8</v>
      </c>
      <c r="L929" s="1">
        <v>0</v>
      </c>
      <c r="M929" s="1">
        <f t="shared" si="35"/>
        <v>8</v>
      </c>
      <c r="N929" s="11">
        <f t="shared" si="36"/>
        <v>8</v>
      </c>
    </row>
    <row r="930" spans="2:14" x14ac:dyDescent="0.2">
      <c r="B930" t="s">
        <v>277</v>
      </c>
      <c r="C930" t="s">
        <v>907</v>
      </c>
      <c r="D930" t="s">
        <v>17</v>
      </c>
      <c r="G930">
        <v>1</v>
      </c>
      <c r="H930">
        <v>0</v>
      </c>
      <c r="I930">
        <f t="shared" si="37"/>
        <v>1</v>
      </c>
      <c r="K930" s="9">
        <v>8</v>
      </c>
      <c r="L930" s="1">
        <v>0</v>
      </c>
      <c r="M930" s="1">
        <f t="shared" si="35"/>
        <v>8</v>
      </c>
      <c r="N930" s="11">
        <f t="shared" si="36"/>
        <v>8</v>
      </c>
    </row>
    <row r="931" spans="2:14" x14ac:dyDescent="0.2">
      <c r="B931" t="s">
        <v>277</v>
      </c>
      <c r="C931" t="s">
        <v>334</v>
      </c>
      <c r="D931" t="s">
        <v>17</v>
      </c>
      <c r="G931">
        <v>1</v>
      </c>
      <c r="H931">
        <v>0</v>
      </c>
      <c r="I931">
        <f t="shared" si="37"/>
        <v>1</v>
      </c>
      <c r="K931" s="9">
        <v>8</v>
      </c>
      <c r="L931" s="1">
        <v>0</v>
      </c>
      <c r="M931" s="1">
        <f t="shared" si="35"/>
        <v>8</v>
      </c>
      <c r="N931" s="11">
        <f t="shared" si="36"/>
        <v>8</v>
      </c>
    </row>
    <row r="932" spans="2:14" x14ac:dyDescent="0.2">
      <c r="B932" t="s">
        <v>277</v>
      </c>
      <c r="C932" t="s">
        <v>908</v>
      </c>
      <c r="D932" t="s">
        <v>17</v>
      </c>
      <c r="G932">
        <v>1</v>
      </c>
      <c r="H932">
        <v>0</v>
      </c>
      <c r="I932">
        <f t="shared" si="37"/>
        <v>1</v>
      </c>
      <c r="K932" s="9">
        <v>8</v>
      </c>
      <c r="L932" s="1">
        <v>0</v>
      </c>
      <c r="M932" s="1">
        <f t="shared" si="35"/>
        <v>8</v>
      </c>
      <c r="N932" s="11">
        <f t="shared" si="36"/>
        <v>8</v>
      </c>
    </row>
    <row r="933" spans="2:14" x14ac:dyDescent="0.2">
      <c r="B933" t="s">
        <v>277</v>
      </c>
      <c r="C933" t="s">
        <v>909</v>
      </c>
      <c r="D933" t="s">
        <v>17</v>
      </c>
      <c r="G933">
        <v>1</v>
      </c>
      <c r="H933">
        <v>0</v>
      </c>
      <c r="I933">
        <f t="shared" si="37"/>
        <v>1</v>
      </c>
      <c r="K933" s="9">
        <v>8</v>
      </c>
      <c r="L933" s="1">
        <v>0</v>
      </c>
      <c r="M933" s="1">
        <f t="shared" si="35"/>
        <v>8</v>
      </c>
      <c r="N933" s="11">
        <f t="shared" si="36"/>
        <v>8</v>
      </c>
    </row>
    <row r="934" spans="2:14" x14ac:dyDescent="0.2">
      <c r="B934" t="s">
        <v>277</v>
      </c>
      <c r="C934" t="s">
        <v>910</v>
      </c>
      <c r="D934" t="s">
        <v>17</v>
      </c>
      <c r="G934">
        <v>1</v>
      </c>
      <c r="H934">
        <v>0</v>
      </c>
      <c r="I934">
        <f t="shared" si="37"/>
        <v>1</v>
      </c>
      <c r="K934" s="9">
        <v>8</v>
      </c>
      <c r="L934" s="1">
        <v>0</v>
      </c>
      <c r="M934" s="1">
        <f t="shared" si="35"/>
        <v>8</v>
      </c>
      <c r="N934" s="11">
        <f t="shared" si="36"/>
        <v>8</v>
      </c>
    </row>
    <row r="935" spans="2:14" x14ac:dyDescent="0.2">
      <c r="B935" t="s">
        <v>315</v>
      </c>
      <c r="C935" t="s">
        <v>911</v>
      </c>
      <c r="D935" t="s">
        <v>27</v>
      </c>
      <c r="G935">
        <v>1</v>
      </c>
      <c r="H935">
        <v>0</v>
      </c>
      <c r="I935">
        <f t="shared" si="37"/>
        <v>1</v>
      </c>
      <c r="K935" s="9">
        <v>8</v>
      </c>
      <c r="L935" s="1">
        <v>0</v>
      </c>
      <c r="M935" s="1">
        <f t="shared" si="35"/>
        <v>8</v>
      </c>
      <c r="N935" s="11">
        <f t="shared" si="36"/>
        <v>8</v>
      </c>
    </row>
    <row r="936" spans="2:14" x14ac:dyDescent="0.2">
      <c r="B936" t="s">
        <v>277</v>
      </c>
      <c r="C936" t="s">
        <v>912</v>
      </c>
      <c r="D936" t="s">
        <v>17</v>
      </c>
      <c r="G936">
        <v>1</v>
      </c>
      <c r="H936">
        <v>0</v>
      </c>
      <c r="I936">
        <f t="shared" si="37"/>
        <v>1</v>
      </c>
      <c r="K936" s="9">
        <v>8</v>
      </c>
      <c r="L936" s="1">
        <v>0</v>
      </c>
      <c r="M936" s="1">
        <f t="shared" si="35"/>
        <v>8</v>
      </c>
      <c r="N936" s="11">
        <f t="shared" si="36"/>
        <v>8</v>
      </c>
    </row>
    <row r="937" spans="2:14" x14ac:dyDescent="0.2">
      <c r="B937" t="s">
        <v>277</v>
      </c>
      <c r="C937" t="s">
        <v>340</v>
      </c>
      <c r="D937" t="s">
        <v>17</v>
      </c>
      <c r="G937">
        <v>1</v>
      </c>
      <c r="H937">
        <v>0</v>
      </c>
      <c r="I937">
        <f t="shared" si="37"/>
        <v>1</v>
      </c>
      <c r="K937" s="9">
        <v>8</v>
      </c>
      <c r="L937" s="1">
        <v>0</v>
      </c>
      <c r="M937" s="1">
        <f t="shared" si="35"/>
        <v>8</v>
      </c>
      <c r="N937" s="11">
        <f t="shared" si="36"/>
        <v>8</v>
      </c>
    </row>
    <row r="938" spans="2:14" x14ac:dyDescent="0.2">
      <c r="B938" t="s">
        <v>315</v>
      </c>
      <c r="C938" t="s">
        <v>913</v>
      </c>
      <c r="D938" t="s">
        <v>27</v>
      </c>
      <c r="G938">
        <v>2</v>
      </c>
      <c r="H938">
        <v>0</v>
      </c>
      <c r="I938">
        <f t="shared" si="37"/>
        <v>2</v>
      </c>
      <c r="K938" s="9">
        <v>8</v>
      </c>
      <c r="L938" s="1">
        <v>0</v>
      </c>
      <c r="M938" s="1">
        <f t="shared" si="35"/>
        <v>8</v>
      </c>
      <c r="N938" s="11">
        <f t="shared" si="36"/>
        <v>16</v>
      </c>
    </row>
    <row r="939" spans="2:14" x14ac:dyDescent="0.2">
      <c r="B939" t="s">
        <v>315</v>
      </c>
      <c r="C939" t="s">
        <v>908</v>
      </c>
      <c r="D939" t="s">
        <v>27</v>
      </c>
      <c r="G939">
        <v>2</v>
      </c>
      <c r="H939">
        <v>0</v>
      </c>
      <c r="I939">
        <f t="shared" si="37"/>
        <v>2</v>
      </c>
      <c r="K939" s="9">
        <v>8</v>
      </c>
      <c r="L939" s="1">
        <v>0</v>
      </c>
      <c r="M939" s="1">
        <f t="shared" si="35"/>
        <v>8</v>
      </c>
      <c r="N939" s="11">
        <f t="shared" si="36"/>
        <v>16</v>
      </c>
    </row>
    <row r="940" spans="2:14" x14ac:dyDescent="0.2">
      <c r="B940" t="s">
        <v>315</v>
      </c>
      <c r="C940" t="s">
        <v>899</v>
      </c>
      <c r="D940" t="s">
        <v>27</v>
      </c>
      <c r="G940">
        <v>1</v>
      </c>
      <c r="H940">
        <v>0</v>
      </c>
      <c r="I940">
        <f t="shared" si="37"/>
        <v>1</v>
      </c>
      <c r="K940" s="9">
        <v>8</v>
      </c>
      <c r="L940" s="1">
        <v>0</v>
      </c>
      <c r="M940" s="1">
        <f t="shared" si="35"/>
        <v>8</v>
      </c>
      <c r="N940" s="11">
        <f t="shared" si="36"/>
        <v>8</v>
      </c>
    </row>
    <row r="941" spans="2:14" x14ac:dyDescent="0.2">
      <c r="B941" t="s">
        <v>315</v>
      </c>
      <c r="C941" t="s">
        <v>366</v>
      </c>
      <c r="D941" t="s">
        <v>27</v>
      </c>
      <c r="G941">
        <v>1</v>
      </c>
      <c r="H941">
        <v>0</v>
      </c>
      <c r="I941">
        <f t="shared" si="37"/>
        <v>1</v>
      </c>
      <c r="K941" s="9">
        <v>8</v>
      </c>
      <c r="L941" s="1">
        <v>0</v>
      </c>
      <c r="M941" s="1">
        <f t="shared" si="35"/>
        <v>8</v>
      </c>
      <c r="N941" s="11">
        <f t="shared" si="36"/>
        <v>8</v>
      </c>
    </row>
    <row r="942" spans="2:14" x14ac:dyDescent="0.2">
      <c r="B942" t="s">
        <v>277</v>
      </c>
      <c r="C942" t="s">
        <v>786</v>
      </c>
      <c r="D942" t="s">
        <v>17</v>
      </c>
      <c r="G942">
        <v>1</v>
      </c>
      <c r="H942">
        <v>0</v>
      </c>
      <c r="I942">
        <f t="shared" si="37"/>
        <v>1</v>
      </c>
      <c r="K942" s="9">
        <v>8</v>
      </c>
      <c r="L942" s="1">
        <v>0</v>
      </c>
      <c r="M942" s="1">
        <f t="shared" si="35"/>
        <v>8</v>
      </c>
      <c r="N942" s="11">
        <f t="shared" si="36"/>
        <v>8</v>
      </c>
    </row>
    <row r="943" spans="2:14" x14ac:dyDescent="0.2">
      <c r="B943" t="s">
        <v>315</v>
      </c>
      <c r="C943" t="s">
        <v>344</v>
      </c>
      <c r="D943" t="s">
        <v>27</v>
      </c>
      <c r="G943">
        <v>1</v>
      </c>
      <c r="H943">
        <v>0</v>
      </c>
      <c r="I943">
        <f t="shared" si="37"/>
        <v>1</v>
      </c>
      <c r="K943" s="9">
        <v>8</v>
      </c>
      <c r="L943" s="1">
        <v>0</v>
      </c>
      <c r="M943" s="1">
        <f t="shared" si="35"/>
        <v>8</v>
      </c>
      <c r="N943" s="11">
        <f t="shared" si="36"/>
        <v>8</v>
      </c>
    </row>
    <row r="944" spans="2:14" x14ac:dyDescent="0.2">
      <c r="B944" t="s">
        <v>277</v>
      </c>
      <c r="C944" t="s">
        <v>914</v>
      </c>
      <c r="D944" t="s">
        <v>17</v>
      </c>
      <c r="G944">
        <v>1</v>
      </c>
      <c r="H944">
        <v>0</v>
      </c>
      <c r="I944">
        <f t="shared" si="37"/>
        <v>1</v>
      </c>
      <c r="K944" s="9">
        <v>8</v>
      </c>
      <c r="L944" s="1">
        <v>0</v>
      </c>
      <c r="M944" s="1">
        <f t="shared" si="35"/>
        <v>8</v>
      </c>
      <c r="N944" s="11">
        <f t="shared" si="36"/>
        <v>8</v>
      </c>
    </row>
    <row r="945" spans="2:14" x14ac:dyDescent="0.2">
      <c r="B945" t="s">
        <v>277</v>
      </c>
      <c r="C945" t="s">
        <v>787</v>
      </c>
      <c r="D945" t="s">
        <v>17</v>
      </c>
      <c r="G945">
        <v>1</v>
      </c>
      <c r="H945">
        <v>0</v>
      </c>
      <c r="I945">
        <f t="shared" si="37"/>
        <v>1</v>
      </c>
      <c r="K945" s="9">
        <v>8</v>
      </c>
      <c r="L945" s="1">
        <v>0</v>
      </c>
      <c r="M945" s="1">
        <f t="shared" si="35"/>
        <v>8</v>
      </c>
      <c r="N945" s="11">
        <f t="shared" si="36"/>
        <v>8</v>
      </c>
    </row>
    <row r="946" spans="2:14" x14ac:dyDescent="0.2">
      <c r="B946" t="s">
        <v>277</v>
      </c>
      <c r="C946" t="s">
        <v>366</v>
      </c>
      <c r="D946" t="s">
        <v>17</v>
      </c>
      <c r="G946">
        <v>2</v>
      </c>
      <c r="H946">
        <v>0</v>
      </c>
      <c r="I946">
        <f t="shared" si="37"/>
        <v>2</v>
      </c>
      <c r="K946" s="9">
        <v>8</v>
      </c>
      <c r="L946" s="1">
        <v>0</v>
      </c>
      <c r="M946" s="1">
        <f t="shared" si="35"/>
        <v>8</v>
      </c>
      <c r="N946" s="11">
        <f t="shared" si="36"/>
        <v>16</v>
      </c>
    </row>
    <row r="947" spans="2:14" x14ac:dyDescent="0.2">
      <c r="B947" t="s">
        <v>277</v>
      </c>
      <c r="C947" t="s">
        <v>434</v>
      </c>
      <c r="D947" t="s">
        <v>17</v>
      </c>
      <c r="G947">
        <v>1</v>
      </c>
      <c r="H947">
        <v>0</v>
      </c>
      <c r="I947">
        <f t="shared" si="37"/>
        <v>1</v>
      </c>
      <c r="K947" s="9">
        <v>8</v>
      </c>
      <c r="L947" s="1">
        <v>0</v>
      </c>
      <c r="M947" s="1">
        <f t="shared" si="35"/>
        <v>8</v>
      </c>
      <c r="N947" s="11">
        <f t="shared" si="36"/>
        <v>8</v>
      </c>
    </row>
    <row r="948" spans="2:14" x14ac:dyDescent="0.2">
      <c r="B948" t="s">
        <v>277</v>
      </c>
      <c r="C948" t="s">
        <v>363</v>
      </c>
      <c r="D948" t="s">
        <v>17</v>
      </c>
      <c r="G948">
        <v>2</v>
      </c>
      <c r="H948">
        <v>0</v>
      </c>
      <c r="I948">
        <f t="shared" si="37"/>
        <v>2</v>
      </c>
      <c r="K948" s="9">
        <v>8</v>
      </c>
      <c r="L948" s="1">
        <v>0</v>
      </c>
      <c r="M948" s="1">
        <f t="shared" si="35"/>
        <v>8</v>
      </c>
      <c r="N948" s="11">
        <f t="shared" si="36"/>
        <v>16</v>
      </c>
    </row>
    <row r="949" spans="2:14" x14ac:dyDescent="0.2">
      <c r="B949" t="s">
        <v>315</v>
      </c>
      <c r="C949" t="s">
        <v>915</v>
      </c>
      <c r="D949" t="s">
        <v>27</v>
      </c>
      <c r="G949">
        <v>1</v>
      </c>
      <c r="H949">
        <v>0</v>
      </c>
      <c r="I949">
        <f t="shared" si="37"/>
        <v>1</v>
      </c>
      <c r="K949" s="9">
        <v>8</v>
      </c>
      <c r="L949" s="1">
        <v>0</v>
      </c>
      <c r="M949" s="1">
        <f t="shared" si="35"/>
        <v>8</v>
      </c>
      <c r="N949" s="11">
        <f t="shared" si="36"/>
        <v>8</v>
      </c>
    </row>
    <row r="950" spans="2:14" x14ac:dyDescent="0.2">
      <c r="B950" t="s">
        <v>315</v>
      </c>
      <c r="C950" t="s">
        <v>916</v>
      </c>
      <c r="D950" t="s">
        <v>27</v>
      </c>
      <c r="G950">
        <v>1</v>
      </c>
      <c r="H950">
        <v>0</v>
      </c>
      <c r="I950">
        <f t="shared" si="37"/>
        <v>1</v>
      </c>
      <c r="K950" s="9">
        <v>8</v>
      </c>
      <c r="L950" s="1">
        <v>0</v>
      </c>
      <c r="M950" s="1">
        <f t="shared" si="35"/>
        <v>8</v>
      </c>
      <c r="N950" s="11">
        <f t="shared" si="36"/>
        <v>8</v>
      </c>
    </row>
    <row r="951" spans="2:14" x14ac:dyDescent="0.2">
      <c r="B951" t="s">
        <v>315</v>
      </c>
      <c r="C951" t="s">
        <v>917</v>
      </c>
      <c r="D951" t="s">
        <v>27</v>
      </c>
      <c r="G951">
        <v>1</v>
      </c>
      <c r="H951">
        <v>0</v>
      </c>
      <c r="I951">
        <f t="shared" si="37"/>
        <v>1</v>
      </c>
      <c r="K951" s="9">
        <v>8</v>
      </c>
      <c r="L951" s="1">
        <v>0</v>
      </c>
      <c r="M951" s="1">
        <f t="shared" si="35"/>
        <v>8</v>
      </c>
      <c r="N951" s="11">
        <f t="shared" si="36"/>
        <v>8</v>
      </c>
    </row>
    <row r="952" spans="2:14" x14ac:dyDescent="0.2">
      <c r="B952" t="s">
        <v>277</v>
      </c>
      <c r="C952" t="s">
        <v>918</v>
      </c>
      <c r="D952" t="s">
        <v>17</v>
      </c>
      <c r="G952">
        <v>1</v>
      </c>
      <c r="H952">
        <v>0</v>
      </c>
      <c r="I952">
        <f t="shared" si="37"/>
        <v>1</v>
      </c>
      <c r="K952" s="9">
        <v>8</v>
      </c>
      <c r="L952" s="1">
        <v>0</v>
      </c>
      <c r="M952" s="1">
        <f t="shared" si="35"/>
        <v>8</v>
      </c>
      <c r="N952" s="11">
        <f t="shared" si="36"/>
        <v>8</v>
      </c>
    </row>
    <row r="953" spans="2:14" x14ac:dyDescent="0.2">
      <c r="B953" t="s">
        <v>277</v>
      </c>
      <c r="C953" t="s">
        <v>919</v>
      </c>
      <c r="D953" t="s">
        <v>17</v>
      </c>
      <c r="G953">
        <v>1</v>
      </c>
      <c r="H953">
        <v>0</v>
      </c>
      <c r="I953">
        <f t="shared" si="37"/>
        <v>1</v>
      </c>
      <c r="K953" s="9">
        <v>8</v>
      </c>
      <c r="L953" s="1">
        <v>0</v>
      </c>
      <c r="M953" s="1">
        <f t="shared" ref="M953:M1016" si="38">K953+L953</f>
        <v>8</v>
      </c>
      <c r="N953" s="11">
        <f t="shared" si="36"/>
        <v>8</v>
      </c>
    </row>
    <row r="954" spans="2:14" x14ac:dyDescent="0.2">
      <c r="B954" t="s">
        <v>277</v>
      </c>
      <c r="C954" t="s">
        <v>920</v>
      </c>
      <c r="D954" t="s">
        <v>17</v>
      </c>
      <c r="G954">
        <v>1</v>
      </c>
      <c r="H954">
        <v>0</v>
      </c>
      <c r="I954">
        <f t="shared" si="37"/>
        <v>1</v>
      </c>
      <c r="K954" s="9">
        <v>8</v>
      </c>
      <c r="L954" s="1">
        <v>0</v>
      </c>
      <c r="M954" s="1">
        <f t="shared" si="38"/>
        <v>8</v>
      </c>
      <c r="N954" s="11">
        <f t="shared" si="36"/>
        <v>8</v>
      </c>
    </row>
    <row r="955" spans="2:14" x14ac:dyDescent="0.2">
      <c r="B955" t="s">
        <v>277</v>
      </c>
      <c r="C955" t="s">
        <v>752</v>
      </c>
      <c r="D955" t="s">
        <v>17</v>
      </c>
      <c r="G955">
        <v>1</v>
      </c>
      <c r="H955">
        <v>0</v>
      </c>
      <c r="I955">
        <f t="shared" si="37"/>
        <v>1</v>
      </c>
      <c r="K955" s="9">
        <v>8</v>
      </c>
      <c r="L955" s="1">
        <v>0</v>
      </c>
      <c r="M955" s="1">
        <f t="shared" si="38"/>
        <v>8</v>
      </c>
      <c r="N955" s="11">
        <f t="shared" si="36"/>
        <v>8</v>
      </c>
    </row>
    <row r="956" spans="2:14" x14ac:dyDescent="0.2">
      <c r="B956" t="s">
        <v>315</v>
      </c>
      <c r="C956" t="s">
        <v>921</v>
      </c>
      <c r="D956" t="s">
        <v>27</v>
      </c>
      <c r="G956">
        <v>1</v>
      </c>
      <c r="H956">
        <v>0</v>
      </c>
      <c r="I956">
        <f t="shared" si="37"/>
        <v>1</v>
      </c>
      <c r="K956" s="9">
        <v>8</v>
      </c>
      <c r="L956" s="1">
        <v>0</v>
      </c>
      <c r="M956" s="1">
        <f t="shared" si="38"/>
        <v>8</v>
      </c>
      <c r="N956" s="11">
        <f t="shared" si="36"/>
        <v>8</v>
      </c>
    </row>
    <row r="957" spans="2:14" x14ac:dyDescent="0.2">
      <c r="B957" t="s">
        <v>277</v>
      </c>
      <c r="C957" t="s">
        <v>922</v>
      </c>
      <c r="D957" t="s">
        <v>17</v>
      </c>
      <c r="G957">
        <v>1</v>
      </c>
      <c r="H957">
        <v>0</v>
      </c>
      <c r="I957">
        <f t="shared" si="37"/>
        <v>1</v>
      </c>
      <c r="K957" s="9">
        <v>8</v>
      </c>
      <c r="L957" s="1">
        <v>0</v>
      </c>
      <c r="M957" s="1">
        <f t="shared" si="38"/>
        <v>8</v>
      </c>
      <c r="N957" s="11">
        <f t="shared" si="36"/>
        <v>8</v>
      </c>
    </row>
    <row r="958" spans="2:14" x14ac:dyDescent="0.2">
      <c r="B958" t="s">
        <v>277</v>
      </c>
      <c r="C958" t="s">
        <v>923</v>
      </c>
      <c r="D958" t="s">
        <v>17</v>
      </c>
      <c r="G958">
        <v>1</v>
      </c>
      <c r="H958">
        <v>0</v>
      </c>
      <c r="I958">
        <f t="shared" si="37"/>
        <v>1</v>
      </c>
      <c r="K958" s="9">
        <v>8</v>
      </c>
      <c r="L958" s="1">
        <v>0</v>
      </c>
      <c r="M958" s="1">
        <f t="shared" si="38"/>
        <v>8</v>
      </c>
      <c r="N958" s="11">
        <f t="shared" si="36"/>
        <v>8</v>
      </c>
    </row>
    <row r="959" spans="2:14" x14ac:dyDescent="0.2">
      <c r="B959" t="s">
        <v>277</v>
      </c>
      <c r="C959" t="s">
        <v>924</v>
      </c>
      <c r="D959" t="s">
        <v>17</v>
      </c>
      <c r="G959">
        <v>1</v>
      </c>
      <c r="H959">
        <v>0</v>
      </c>
      <c r="I959">
        <f t="shared" ref="I959:I970" si="39">G959</f>
        <v>1</v>
      </c>
      <c r="K959" s="9">
        <v>8</v>
      </c>
      <c r="L959" s="1">
        <v>0</v>
      </c>
      <c r="M959" s="1">
        <f t="shared" si="38"/>
        <v>8</v>
      </c>
      <c r="N959" s="11">
        <f t="shared" si="36"/>
        <v>8</v>
      </c>
    </row>
    <row r="960" spans="2:14" x14ac:dyDescent="0.2">
      <c r="B960" t="s">
        <v>277</v>
      </c>
      <c r="C960" t="s">
        <v>925</v>
      </c>
      <c r="D960" t="s">
        <v>17</v>
      </c>
      <c r="G960">
        <v>1</v>
      </c>
      <c r="H960">
        <v>0</v>
      </c>
      <c r="I960">
        <f t="shared" si="39"/>
        <v>1</v>
      </c>
      <c r="K960" s="9">
        <v>8</v>
      </c>
      <c r="L960" s="1">
        <v>0</v>
      </c>
      <c r="M960" s="1">
        <f t="shared" si="38"/>
        <v>8</v>
      </c>
      <c r="N960" s="11">
        <f t="shared" si="36"/>
        <v>8</v>
      </c>
    </row>
    <row r="961" spans="2:21" x14ac:dyDescent="0.2">
      <c r="B961" t="s">
        <v>277</v>
      </c>
      <c r="C961" t="s">
        <v>337</v>
      </c>
      <c r="D961" t="s">
        <v>17</v>
      </c>
      <c r="G961">
        <v>1</v>
      </c>
      <c r="H961">
        <v>0</v>
      </c>
      <c r="I961">
        <f t="shared" si="39"/>
        <v>1</v>
      </c>
      <c r="K961" s="9">
        <v>8</v>
      </c>
      <c r="L961" s="1">
        <v>0</v>
      </c>
      <c r="M961" s="1">
        <f t="shared" si="38"/>
        <v>8</v>
      </c>
      <c r="N961" s="11">
        <f t="shared" si="36"/>
        <v>8</v>
      </c>
    </row>
    <row r="962" spans="2:21" x14ac:dyDescent="0.2">
      <c r="B962" t="s">
        <v>315</v>
      </c>
      <c r="C962" t="s">
        <v>926</v>
      </c>
      <c r="D962" t="s">
        <v>27</v>
      </c>
      <c r="G962">
        <v>1</v>
      </c>
      <c r="H962">
        <v>0</v>
      </c>
      <c r="I962">
        <f t="shared" si="39"/>
        <v>1</v>
      </c>
      <c r="K962" s="9">
        <v>8</v>
      </c>
      <c r="L962" s="1">
        <v>0</v>
      </c>
      <c r="M962" s="1">
        <f t="shared" si="38"/>
        <v>8</v>
      </c>
      <c r="N962" s="11">
        <f t="shared" si="36"/>
        <v>8</v>
      </c>
    </row>
    <row r="963" spans="2:21" x14ac:dyDescent="0.2">
      <c r="B963" t="s">
        <v>277</v>
      </c>
      <c r="C963" t="s">
        <v>927</v>
      </c>
      <c r="D963" t="s">
        <v>17</v>
      </c>
      <c r="G963">
        <v>1</v>
      </c>
      <c r="H963">
        <v>0</v>
      </c>
      <c r="I963">
        <f t="shared" si="39"/>
        <v>1</v>
      </c>
      <c r="K963" s="9">
        <v>8</v>
      </c>
      <c r="L963" s="1">
        <v>0</v>
      </c>
      <c r="M963" s="1">
        <f t="shared" si="38"/>
        <v>8</v>
      </c>
      <c r="N963" s="11">
        <f t="shared" ref="N963:N1026" si="40">G963*K963</f>
        <v>8</v>
      </c>
    </row>
    <row r="964" spans="2:21" x14ac:dyDescent="0.2">
      <c r="B964" t="s">
        <v>277</v>
      </c>
      <c r="C964" t="s">
        <v>928</v>
      </c>
      <c r="D964" t="s">
        <v>17</v>
      </c>
      <c r="G964">
        <v>1</v>
      </c>
      <c r="H964">
        <v>0</v>
      </c>
      <c r="I964">
        <f t="shared" si="39"/>
        <v>1</v>
      </c>
      <c r="K964" s="9">
        <v>8</v>
      </c>
      <c r="L964" s="1">
        <v>0</v>
      </c>
      <c r="M964" s="1">
        <f t="shared" si="38"/>
        <v>8</v>
      </c>
      <c r="N964" s="11">
        <f t="shared" si="40"/>
        <v>8</v>
      </c>
    </row>
    <row r="965" spans="2:21" x14ac:dyDescent="0.2">
      <c r="B965" t="s">
        <v>277</v>
      </c>
      <c r="C965" t="s">
        <v>929</v>
      </c>
      <c r="D965" t="s">
        <v>17</v>
      </c>
      <c r="G965">
        <v>1</v>
      </c>
      <c r="H965">
        <v>0</v>
      </c>
      <c r="I965">
        <f t="shared" si="39"/>
        <v>1</v>
      </c>
      <c r="K965" s="9">
        <v>8</v>
      </c>
      <c r="L965" s="1">
        <v>0</v>
      </c>
      <c r="M965" s="1">
        <f t="shared" si="38"/>
        <v>8</v>
      </c>
      <c r="N965" s="11">
        <f t="shared" si="40"/>
        <v>8</v>
      </c>
    </row>
    <row r="966" spans="2:21" x14ac:dyDescent="0.2">
      <c r="B966" t="s">
        <v>277</v>
      </c>
      <c r="C966" t="s">
        <v>278</v>
      </c>
      <c r="D966" t="s">
        <v>17</v>
      </c>
      <c r="G966">
        <v>1</v>
      </c>
      <c r="H966">
        <v>0</v>
      </c>
      <c r="I966">
        <f t="shared" si="39"/>
        <v>1</v>
      </c>
      <c r="K966" s="9">
        <v>8</v>
      </c>
      <c r="L966" s="1">
        <v>0</v>
      </c>
      <c r="M966" s="1">
        <f t="shared" si="38"/>
        <v>8</v>
      </c>
      <c r="N966" s="11">
        <f t="shared" si="40"/>
        <v>8</v>
      </c>
    </row>
    <row r="967" spans="2:21" x14ac:dyDescent="0.2">
      <c r="B967" t="s">
        <v>315</v>
      </c>
      <c r="C967" t="s">
        <v>371</v>
      </c>
      <c r="D967" t="s">
        <v>27</v>
      </c>
      <c r="G967">
        <v>1</v>
      </c>
      <c r="H967">
        <v>0</v>
      </c>
      <c r="I967">
        <f t="shared" si="39"/>
        <v>1</v>
      </c>
      <c r="K967" s="9">
        <v>8</v>
      </c>
      <c r="L967" s="1">
        <v>0</v>
      </c>
      <c r="M967" s="1">
        <f t="shared" si="38"/>
        <v>8</v>
      </c>
      <c r="N967" s="11">
        <f t="shared" si="40"/>
        <v>8</v>
      </c>
    </row>
    <row r="968" spans="2:21" x14ac:dyDescent="0.2">
      <c r="B968" t="s">
        <v>277</v>
      </c>
      <c r="C968" t="s">
        <v>930</v>
      </c>
      <c r="D968" t="s">
        <v>17</v>
      </c>
      <c r="G968">
        <v>1</v>
      </c>
      <c r="H968">
        <v>0</v>
      </c>
      <c r="I968">
        <f t="shared" si="39"/>
        <v>1</v>
      </c>
      <c r="K968" s="9">
        <v>8</v>
      </c>
      <c r="L968" s="1">
        <v>0</v>
      </c>
      <c r="M968" s="1">
        <f t="shared" si="38"/>
        <v>8</v>
      </c>
      <c r="N968" s="11">
        <f t="shared" si="40"/>
        <v>8</v>
      </c>
    </row>
    <row r="969" spans="2:21" x14ac:dyDescent="0.2">
      <c r="B969" t="s">
        <v>277</v>
      </c>
      <c r="C969" t="s">
        <v>931</v>
      </c>
      <c r="D969" t="s">
        <v>17</v>
      </c>
      <c r="G969">
        <v>1</v>
      </c>
      <c r="H969">
        <v>0</v>
      </c>
      <c r="I969">
        <f t="shared" si="39"/>
        <v>1</v>
      </c>
      <c r="K969" s="9">
        <v>8</v>
      </c>
      <c r="L969" s="1">
        <v>0</v>
      </c>
      <c r="M969" s="1">
        <f t="shared" si="38"/>
        <v>8</v>
      </c>
      <c r="N969" s="11">
        <f t="shared" si="40"/>
        <v>8</v>
      </c>
    </row>
    <row r="970" spans="2:21" x14ac:dyDescent="0.2">
      <c r="B970" t="s">
        <v>277</v>
      </c>
      <c r="C970" t="s">
        <v>932</v>
      </c>
      <c r="D970" t="s">
        <v>17</v>
      </c>
      <c r="G970">
        <v>1</v>
      </c>
      <c r="H970">
        <v>0</v>
      </c>
      <c r="I970">
        <f t="shared" si="39"/>
        <v>1</v>
      </c>
      <c r="K970" s="9">
        <v>8</v>
      </c>
      <c r="L970" s="1">
        <v>0</v>
      </c>
      <c r="M970" s="1">
        <f t="shared" si="38"/>
        <v>8</v>
      </c>
      <c r="N970" s="11">
        <f t="shared" si="40"/>
        <v>8</v>
      </c>
    </row>
    <row r="971" spans="2:21" x14ac:dyDescent="0.2">
      <c r="B971" t="s">
        <v>112</v>
      </c>
      <c r="C971" t="s">
        <v>933</v>
      </c>
      <c r="D971" t="s">
        <v>97</v>
      </c>
      <c r="F971" s="9"/>
      <c r="G971">
        <v>1</v>
      </c>
      <c r="H971">
        <v>1</v>
      </c>
      <c r="I971">
        <v>0</v>
      </c>
      <c r="K971" s="9">
        <v>10</v>
      </c>
      <c r="L971" s="1">
        <v>0</v>
      </c>
      <c r="M971" s="1">
        <f t="shared" si="38"/>
        <v>10</v>
      </c>
      <c r="N971" s="11">
        <f t="shared" si="40"/>
        <v>10</v>
      </c>
      <c r="O971" s="9"/>
    </row>
    <row r="972" spans="2:21" x14ac:dyDescent="0.2">
      <c r="B972" t="s">
        <v>112</v>
      </c>
      <c r="C972" t="s">
        <v>934</v>
      </c>
      <c r="D972" t="s">
        <v>97</v>
      </c>
      <c r="E972" s="11"/>
      <c r="F972" s="9"/>
      <c r="G972" s="10">
        <v>2</v>
      </c>
      <c r="H972">
        <v>2</v>
      </c>
      <c r="I972">
        <v>0</v>
      </c>
      <c r="J972" s="9"/>
      <c r="K972" s="9">
        <v>10</v>
      </c>
      <c r="L972" s="1">
        <v>0</v>
      </c>
      <c r="M972" s="1">
        <f t="shared" si="38"/>
        <v>10</v>
      </c>
      <c r="N972" s="11">
        <f t="shared" si="40"/>
        <v>20</v>
      </c>
      <c r="O972" s="9"/>
      <c r="P972" s="9"/>
      <c r="Q972" s="9"/>
      <c r="R972" s="9"/>
      <c r="S972" s="9"/>
      <c r="T972" s="9"/>
      <c r="U972" s="9"/>
    </row>
    <row r="973" spans="2:21" ht="14" customHeight="1" x14ac:dyDescent="0.2">
      <c r="B973" t="s">
        <v>112</v>
      </c>
      <c r="C973" t="s">
        <v>935</v>
      </c>
      <c r="D973" t="s">
        <v>97</v>
      </c>
      <c r="E973" s="11"/>
      <c r="F973" s="9"/>
      <c r="G973" s="10">
        <v>1</v>
      </c>
      <c r="H973">
        <v>1</v>
      </c>
      <c r="I973">
        <v>0</v>
      </c>
      <c r="J973" s="9"/>
      <c r="K973" s="9">
        <v>10</v>
      </c>
      <c r="L973" s="1">
        <v>0</v>
      </c>
      <c r="M973" s="1">
        <f t="shared" si="38"/>
        <v>10</v>
      </c>
      <c r="N973" s="11">
        <f t="shared" si="40"/>
        <v>10</v>
      </c>
      <c r="O973" s="9"/>
      <c r="P973" s="9"/>
      <c r="Q973" s="9"/>
      <c r="R973" s="9"/>
      <c r="S973" s="9"/>
      <c r="T973" s="9"/>
      <c r="U973" s="9"/>
    </row>
    <row r="974" spans="2:21" ht="14" customHeight="1" x14ac:dyDescent="0.2">
      <c r="B974" t="s">
        <v>121</v>
      </c>
      <c r="C974" t="s">
        <v>935</v>
      </c>
      <c r="D974" t="s">
        <v>34</v>
      </c>
      <c r="E974" s="11"/>
      <c r="F974" s="9"/>
      <c r="G974" s="10">
        <v>1</v>
      </c>
      <c r="H974">
        <v>1</v>
      </c>
      <c r="I974">
        <v>0</v>
      </c>
      <c r="J974" s="9"/>
      <c r="K974" s="9">
        <v>10</v>
      </c>
      <c r="L974" s="1">
        <v>0</v>
      </c>
      <c r="M974" s="1">
        <f t="shared" si="38"/>
        <v>10</v>
      </c>
      <c r="N974" s="11">
        <f t="shared" si="40"/>
        <v>10</v>
      </c>
      <c r="O974" s="9"/>
      <c r="P974" s="9"/>
      <c r="Q974" s="9"/>
      <c r="R974" s="9"/>
      <c r="S974" s="9"/>
      <c r="T974" s="9"/>
      <c r="U974" s="9"/>
    </row>
    <row r="975" spans="2:21" ht="14" customHeight="1" x14ac:dyDescent="0.2">
      <c r="B975" t="s">
        <v>285</v>
      </c>
      <c r="C975" t="s">
        <v>936</v>
      </c>
      <c r="D975" t="s">
        <v>91</v>
      </c>
      <c r="E975" s="11"/>
      <c r="F975" s="9"/>
      <c r="G975" s="10">
        <v>1</v>
      </c>
      <c r="H975" s="10">
        <v>1</v>
      </c>
      <c r="I975">
        <v>0</v>
      </c>
      <c r="J975" s="9"/>
      <c r="K975" s="9">
        <v>10</v>
      </c>
      <c r="L975" s="1">
        <v>0</v>
      </c>
      <c r="M975" s="1">
        <f t="shared" si="38"/>
        <v>10</v>
      </c>
      <c r="N975" s="11">
        <f t="shared" si="40"/>
        <v>10</v>
      </c>
      <c r="O975" s="9"/>
      <c r="P975" s="9"/>
      <c r="Q975" s="9"/>
      <c r="R975" s="9"/>
      <c r="S975" s="9"/>
      <c r="T975" s="9"/>
      <c r="U975" s="9"/>
    </row>
    <row r="976" spans="2:21" ht="14" customHeight="1" x14ac:dyDescent="0.2">
      <c r="B976" t="s">
        <v>285</v>
      </c>
      <c r="C976" t="s">
        <v>936</v>
      </c>
      <c r="D976" t="s">
        <v>95</v>
      </c>
      <c r="E976" s="11"/>
      <c r="F976" s="9"/>
      <c r="G976" s="10">
        <v>1</v>
      </c>
      <c r="H976" s="10">
        <v>1</v>
      </c>
      <c r="I976">
        <v>0</v>
      </c>
      <c r="J976" s="9"/>
      <c r="K976" s="9">
        <v>10</v>
      </c>
      <c r="L976" s="1">
        <v>0</v>
      </c>
      <c r="M976" s="1">
        <f t="shared" si="38"/>
        <v>10</v>
      </c>
      <c r="N976" s="11">
        <f t="shared" si="40"/>
        <v>10</v>
      </c>
      <c r="O976" s="9"/>
      <c r="P976" s="9"/>
      <c r="Q976" s="9"/>
      <c r="R976" s="9"/>
      <c r="S976" s="9"/>
      <c r="T976" s="9"/>
      <c r="U976" s="9"/>
    </row>
    <row r="977" spans="2:21" ht="14" customHeight="1" x14ac:dyDescent="0.2">
      <c r="B977" t="s">
        <v>285</v>
      </c>
      <c r="C977" t="s">
        <v>937</v>
      </c>
      <c r="D977" t="s">
        <v>91</v>
      </c>
      <c r="E977" s="11"/>
      <c r="F977" s="9"/>
      <c r="G977" s="10">
        <v>1</v>
      </c>
      <c r="H977" s="10">
        <v>1</v>
      </c>
      <c r="I977">
        <v>0</v>
      </c>
      <c r="J977" s="9"/>
      <c r="K977" s="9">
        <v>10</v>
      </c>
      <c r="L977" s="1">
        <v>0</v>
      </c>
      <c r="M977" s="1">
        <f t="shared" si="38"/>
        <v>10</v>
      </c>
      <c r="N977" s="11">
        <f t="shared" si="40"/>
        <v>10</v>
      </c>
      <c r="O977" s="9"/>
      <c r="P977" s="9"/>
      <c r="Q977" s="9"/>
      <c r="R977" s="9"/>
      <c r="S977" s="9"/>
      <c r="T977" s="9"/>
      <c r="U977" s="9"/>
    </row>
    <row r="978" spans="2:21" x14ac:dyDescent="0.2">
      <c r="B978" t="s">
        <v>277</v>
      </c>
      <c r="C978" t="s">
        <v>438</v>
      </c>
      <c r="D978" t="s">
        <v>34</v>
      </c>
      <c r="E978" s="11"/>
      <c r="F978" s="9"/>
      <c r="G978" s="10">
        <v>1</v>
      </c>
      <c r="H978" s="10">
        <v>1</v>
      </c>
      <c r="I978">
        <v>0</v>
      </c>
      <c r="J978" s="9"/>
      <c r="K978" s="9">
        <v>10</v>
      </c>
      <c r="L978" s="1">
        <v>0</v>
      </c>
      <c r="M978" s="1">
        <f t="shared" si="38"/>
        <v>10</v>
      </c>
      <c r="N978" s="11">
        <f t="shared" si="40"/>
        <v>10</v>
      </c>
      <c r="O978" s="9"/>
      <c r="P978" s="9"/>
      <c r="Q978" s="9"/>
      <c r="R978" s="9"/>
      <c r="S978" s="9"/>
      <c r="T978" s="9"/>
      <c r="U978" s="9"/>
    </row>
    <row r="979" spans="2:21" ht="14" customHeight="1" x14ac:dyDescent="0.2">
      <c r="B979" t="s">
        <v>285</v>
      </c>
      <c r="C979" t="s">
        <v>938</v>
      </c>
      <c r="D979" t="s">
        <v>91</v>
      </c>
      <c r="E979" s="11"/>
      <c r="F979" s="9"/>
      <c r="G979" s="10">
        <v>1</v>
      </c>
      <c r="H979" s="10">
        <v>1</v>
      </c>
      <c r="I979">
        <v>0</v>
      </c>
      <c r="J979" s="9"/>
      <c r="K979" s="9">
        <v>10</v>
      </c>
      <c r="L979" s="1">
        <v>0</v>
      </c>
      <c r="M979" s="1">
        <f t="shared" si="38"/>
        <v>10</v>
      </c>
      <c r="N979" s="11">
        <f t="shared" si="40"/>
        <v>10</v>
      </c>
      <c r="O979" s="9"/>
      <c r="P979" s="9"/>
      <c r="Q979" s="9"/>
      <c r="R979" s="9"/>
      <c r="S979" s="9"/>
      <c r="T979" s="9"/>
      <c r="U979" s="9"/>
    </row>
    <row r="980" spans="2:21" ht="14" customHeight="1" x14ac:dyDescent="0.2">
      <c r="B980" t="s">
        <v>277</v>
      </c>
      <c r="C980" t="s">
        <v>939</v>
      </c>
      <c r="D980" t="s">
        <v>34</v>
      </c>
      <c r="E980" s="11"/>
      <c r="F980" s="9"/>
      <c r="G980" s="10">
        <v>1</v>
      </c>
      <c r="H980" s="10">
        <v>1</v>
      </c>
      <c r="I980">
        <v>0</v>
      </c>
      <c r="J980" s="9"/>
      <c r="K980" s="9">
        <v>10</v>
      </c>
      <c r="L980" s="1">
        <v>0</v>
      </c>
      <c r="M980" s="1">
        <f t="shared" si="38"/>
        <v>10</v>
      </c>
      <c r="N980" s="11">
        <f t="shared" si="40"/>
        <v>10</v>
      </c>
      <c r="O980" s="9"/>
      <c r="P980" s="9"/>
      <c r="Q980" s="9"/>
      <c r="R980" s="9"/>
      <c r="S980" s="9"/>
      <c r="T980" s="9"/>
      <c r="U980" s="9"/>
    </row>
    <row r="981" spans="2:21" ht="14" customHeight="1" x14ac:dyDescent="0.2">
      <c r="B981" t="s">
        <v>277</v>
      </c>
      <c r="C981" t="s">
        <v>940</v>
      </c>
      <c r="D981" t="s">
        <v>17</v>
      </c>
      <c r="E981" s="11"/>
      <c r="F981" s="9"/>
      <c r="G981" s="10">
        <v>1</v>
      </c>
      <c r="H981" s="10">
        <v>1</v>
      </c>
      <c r="I981">
        <v>0</v>
      </c>
      <c r="J981" s="9"/>
      <c r="K981" s="9">
        <v>10</v>
      </c>
      <c r="L981" s="1">
        <v>0</v>
      </c>
      <c r="M981" s="1">
        <f t="shared" si="38"/>
        <v>10</v>
      </c>
      <c r="N981" s="11">
        <f t="shared" si="40"/>
        <v>10</v>
      </c>
      <c r="O981" s="9"/>
      <c r="P981" s="9"/>
      <c r="Q981" s="9"/>
      <c r="R981" s="9"/>
      <c r="S981" s="9"/>
      <c r="T981" s="9"/>
      <c r="U981" s="9"/>
    </row>
    <row r="982" spans="2:21" x14ac:dyDescent="0.2">
      <c r="B982" t="s">
        <v>277</v>
      </c>
      <c r="C982" t="s">
        <v>941</v>
      </c>
      <c r="D982" t="s">
        <v>34</v>
      </c>
      <c r="E982" s="11"/>
      <c r="F982" s="9"/>
      <c r="G982" s="10">
        <v>1</v>
      </c>
      <c r="H982" s="10">
        <v>1</v>
      </c>
      <c r="I982">
        <v>0</v>
      </c>
      <c r="J982" s="9"/>
      <c r="K982" s="9">
        <v>10</v>
      </c>
      <c r="L982" s="1">
        <v>0</v>
      </c>
      <c r="M982" s="1">
        <f t="shared" si="38"/>
        <v>10</v>
      </c>
      <c r="N982" s="11">
        <f t="shared" si="40"/>
        <v>10</v>
      </c>
      <c r="O982" s="9"/>
      <c r="P982" s="9"/>
      <c r="Q982" s="9"/>
      <c r="R982" s="9"/>
      <c r="S982" s="9"/>
      <c r="T982" s="9"/>
      <c r="U982" s="9"/>
    </row>
    <row r="983" spans="2:21" x14ac:dyDescent="0.2">
      <c r="B983" t="s">
        <v>277</v>
      </c>
      <c r="C983" t="s">
        <v>942</v>
      </c>
      <c r="D983" t="s">
        <v>34</v>
      </c>
      <c r="E983" s="11"/>
      <c r="F983" s="9"/>
      <c r="G983" s="10">
        <v>1</v>
      </c>
      <c r="H983" s="10">
        <v>1</v>
      </c>
      <c r="I983">
        <v>0</v>
      </c>
      <c r="J983" s="9"/>
      <c r="K983" s="9">
        <v>10</v>
      </c>
      <c r="L983" s="1">
        <v>0</v>
      </c>
      <c r="M983" s="1">
        <f t="shared" si="38"/>
        <v>10</v>
      </c>
      <c r="N983" s="11">
        <f t="shared" si="40"/>
        <v>10</v>
      </c>
      <c r="O983" s="9"/>
      <c r="P983" s="9"/>
      <c r="Q983" s="9"/>
      <c r="R983" s="9"/>
      <c r="S983" s="9"/>
      <c r="T983" s="9"/>
      <c r="U983" s="9"/>
    </row>
    <row r="984" spans="2:21" x14ac:dyDescent="0.2">
      <c r="B984" t="s">
        <v>277</v>
      </c>
      <c r="C984" t="s">
        <v>943</v>
      </c>
      <c r="D984" t="s">
        <v>34</v>
      </c>
      <c r="E984" s="11"/>
      <c r="F984" s="9"/>
      <c r="G984" s="10">
        <v>1</v>
      </c>
      <c r="H984" s="10">
        <v>1</v>
      </c>
      <c r="I984">
        <v>0</v>
      </c>
      <c r="J984" s="9"/>
      <c r="K984" s="9">
        <v>10</v>
      </c>
      <c r="L984" s="1">
        <v>0</v>
      </c>
      <c r="M984" s="1">
        <f t="shared" si="38"/>
        <v>10</v>
      </c>
      <c r="N984" s="11">
        <f t="shared" si="40"/>
        <v>10</v>
      </c>
      <c r="O984" s="9"/>
      <c r="P984" s="9"/>
      <c r="Q984" s="9"/>
      <c r="R984" s="9"/>
      <c r="S984" s="9"/>
      <c r="T984" s="9"/>
      <c r="U984" s="9"/>
    </row>
    <row r="985" spans="2:21" x14ac:dyDescent="0.2">
      <c r="B985" t="s">
        <v>277</v>
      </c>
      <c r="C985" t="s">
        <v>944</v>
      </c>
      <c r="D985" t="s">
        <v>34</v>
      </c>
      <c r="E985" s="11"/>
      <c r="F985" s="9"/>
      <c r="G985" s="10">
        <v>1</v>
      </c>
      <c r="H985" s="10">
        <v>1</v>
      </c>
      <c r="I985">
        <v>0</v>
      </c>
      <c r="J985" s="9"/>
      <c r="K985" s="9">
        <v>10</v>
      </c>
      <c r="L985" s="1">
        <v>0</v>
      </c>
      <c r="M985" s="1">
        <f t="shared" si="38"/>
        <v>10</v>
      </c>
      <c r="N985" s="11">
        <f t="shared" si="40"/>
        <v>10</v>
      </c>
      <c r="O985" s="9"/>
      <c r="P985" s="9"/>
      <c r="Q985" s="9"/>
      <c r="R985" s="9"/>
      <c r="S985" s="9"/>
      <c r="T985" s="9"/>
      <c r="U985" s="9"/>
    </row>
    <row r="986" spans="2:21" x14ac:dyDescent="0.2">
      <c r="B986" t="s">
        <v>277</v>
      </c>
      <c r="C986" t="s">
        <v>945</v>
      </c>
      <c r="D986" t="s">
        <v>34</v>
      </c>
      <c r="E986" s="11"/>
      <c r="F986" s="9"/>
      <c r="G986" s="10">
        <v>1</v>
      </c>
      <c r="H986" s="10">
        <v>1</v>
      </c>
      <c r="I986">
        <v>0</v>
      </c>
      <c r="J986" s="9"/>
      <c r="K986" s="9">
        <v>10</v>
      </c>
      <c r="L986" s="1">
        <v>0</v>
      </c>
      <c r="M986" s="1">
        <f t="shared" si="38"/>
        <v>10</v>
      </c>
      <c r="N986" s="11">
        <f t="shared" si="40"/>
        <v>10</v>
      </c>
      <c r="O986" s="9"/>
      <c r="P986" s="9"/>
      <c r="Q986" s="9"/>
      <c r="R986" s="9"/>
      <c r="S986" s="9"/>
      <c r="T986" s="9"/>
      <c r="U986" s="9"/>
    </row>
    <row r="987" spans="2:21" x14ac:dyDescent="0.2">
      <c r="B987" t="s">
        <v>285</v>
      </c>
      <c r="C987" t="s">
        <v>366</v>
      </c>
      <c r="D987" t="s">
        <v>95</v>
      </c>
      <c r="E987" s="11"/>
      <c r="F987" s="9"/>
      <c r="G987" s="10">
        <v>1</v>
      </c>
      <c r="H987" s="10">
        <v>1</v>
      </c>
      <c r="I987">
        <v>0</v>
      </c>
      <c r="J987" s="9"/>
      <c r="K987" s="9">
        <v>10</v>
      </c>
      <c r="L987" s="1">
        <v>0</v>
      </c>
      <c r="M987" s="1">
        <f t="shared" si="38"/>
        <v>10</v>
      </c>
      <c r="N987" s="11">
        <f t="shared" si="40"/>
        <v>10</v>
      </c>
      <c r="O987" s="9"/>
      <c r="P987" s="9"/>
      <c r="Q987" s="9"/>
      <c r="R987" s="9"/>
      <c r="S987" s="9"/>
      <c r="T987" s="9"/>
      <c r="U987" s="9"/>
    </row>
    <row r="988" spans="2:21" x14ac:dyDescent="0.2">
      <c r="B988" t="s">
        <v>285</v>
      </c>
      <c r="C988" t="s">
        <v>946</v>
      </c>
      <c r="D988" t="s">
        <v>91</v>
      </c>
      <c r="E988" s="11"/>
      <c r="F988" s="9"/>
      <c r="G988" s="10">
        <v>1</v>
      </c>
      <c r="H988" s="10">
        <v>1</v>
      </c>
      <c r="I988">
        <v>0</v>
      </c>
      <c r="J988" s="9"/>
      <c r="K988" s="9">
        <v>10</v>
      </c>
      <c r="L988" s="1">
        <v>0</v>
      </c>
      <c r="M988" s="1">
        <f t="shared" si="38"/>
        <v>10</v>
      </c>
      <c r="N988" s="11">
        <f t="shared" si="40"/>
        <v>10</v>
      </c>
      <c r="O988" s="9"/>
      <c r="P988" s="9"/>
      <c r="Q988" s="9"/>
      <c r="R988" s="9"/>
      <c r="S988" s="9"/>
      <c r="T988" s="9"/>
      <c r="U988" s="9"/>
    </row>
    <row r="989" spans="2:21" x14ac:dyDescent="0.2">
      <c r="B989" t="s">
        <v>285</v>
      </c>
      <c r="C989" t="s">
        <v>917</v>
      </c>
      <c r="D989" t="s">
        <v>91</v>
      </c>
      <c r="E989" s="11"/>
      <c r="F989" s="9"/>
      <c r="G989" s="10">
        <v>2</v>
      </c>
      <c r="H989" s="10">
        <v>2</v>
      </c>
      <c r="I989">
        <v>0</v>
      </c>
      <c r="J989" s="9"/>
      <c r="K989" s="9">
        <v>10</v>
      </c>
      <c r="L989" s="1">
        <v>0</v>
      </c>
      <c r="M989" s="1">
        <f t="shared" si="38"/>
        <v>10</v>
      </c>
      <c r="N989" s="11">
        <f t="shared" si="40"/>
        <v>20</v>
      </c>
      <c r="O989" s="9"/>
      <c r="P989" s="9"/>
      <c r="Q989" s="9"/>
      <c r="R989" s="9"/>
      <c r="S989" s="9"/>
      <c r="T989" s="9"/>
      <c r="U989" s="9"/>
    </row>
    <row r="990" spans="2:21" x14ac:dyDescent="0.2">
      <c r="B990" t="s">
        <v>285</v>
      </c>
      <c r="C990" t="s">
        <v>947</v>
      </c>
      <c r="D990" t="s">
        <v>91</v>
      </c>
      <c r="E990" s="11"/>
      <c r="F990" s="9"/>
      <c r="G990" s="10">
        <v>1</v>
      </c>
      <c r="H990" s="10">
        <v>1</v>
      </c>
      <c r="I990">
        <v>0</v>
      </c>
      <c r="J990" s="9"/>
      <c r="K990" s="9">
        <v>10</v>
      </c>
      <c r="L990" s="1">
        <v>0</v>
      </c>
      <c r="M990" s="1">
        <f t="shared" si="38"/>
        <v>10</v>
      </c>
      <c r="N990" s="11">
        <f t="shared" si="40"/>
        <v>10</v>
      </c>
      <c r="O990" s="9"/>
      <c r="P990" s="9"/>
      <c r="Q990" s="9"/>
      <c r="R990" s="9"/>
      <c r="S990" s="9"/>
      <c r="T990" s="9"/>
      <c r="U990" s="9"/>
    </row>
    <row r="991" spans="2:21" x14ac:dyDescent="0.2">
      <c r="B991" t="s">
        <v>282</v>
      </c>
      <c r="C991" t="s">
        <v>948</v>
      </c>
      <c r="D991" t="s">
        <v>97</v>
      </c>
      <c r="E991" s="11"/>
      <c r="F991" s="9"/>
      <c r="G991" s="10">
        <v>1</v>
      </c>
      <c r="H991" s="10">
        <v>1</v>
      </c>
      <c r="I991">
        <v>0</v>
      </c>
      <c r="J991" s="9"/>
      <c r="K991" s="9">
        <v>10</v>
      </c>
      <c r="L991" s="1">
        <v>0</v>
      </c>
      <c r="M991" s="1">
        <f t="shared" si="38"/>
        <v>10</v>
      </c>
      <c r="N991" s="11">
        <f t="shared" si="40"/>
        <v>10</v>
      </c>
      <c r="O991" s="9"/>
      <c r="P991" s="9"/>
      <c r="Q991" s="9"/>
      <c r="R991" s="9"/>
      <c r="S991" s="9"/>
      <c r="T991" s="9"/>
      <c r="U991" s="9"/>
    </row>
    <row r="992" spans="2:21" x14ac:dyDescent="0.2">
      <c r="B992" t="s">
        <v>90</v>
      </c>
      <c r="C992" t="s">
        <v>949</v>
      </c>
      <c r="D992" t="s">
        <v>237</v>
      </c>
      <c r="E992" s="11"/>
      <c r="F992" s="9"/>
      <c r="G992" s="10">
        <v>1</v>
      </c>
      <c r="H992" s="10">
        <v>1</v>
      </c>
      <c r="I992">
        <v>0</v>
      </c>
      <c r="J992" s="9"/>
      <c r="K992" s="9">
        <v>10</v>
      </c>
      <c r="L992" s="1">
        <v>0</v>
      </c>
      <c r="M992" s="1">
        <f t="shared" si="38"/>
        <v>10</v>
      </c>
      <c r="N992" s="11">
        <f t="shared" si="40"/>
        <v>10</v>
      </c>
      <c r="O992" s="9"/>
      <c r="P992" s="9"/>
      <c r="Q992" s="9"/>
      <c r="R992" s="9"/>
      <c r="S992" s="9"/>
      <c r="T992" s="9"/>
      <c r="U992" s="9"/>
    </row>
    <row r="993" spans="2:21" x14ac:dyDescent="0.2">
      <c r="B993" t="s">
        <v>725</v>
      </c>
      <c r="C993" t="s">
        <v>950</v>
      </c>
      <c r="D993" t="s">
        <v>97</v>
      </c>
      <c r="E993" s="11"/>
      <c r="F993" s="9"/>
      <c r="G993" s="10">
        <v>1</v>
      </c>
      <c r="H993" s="10">
        <v>1</v>
      </c>
      <c r="I993">
        <v>0</v>
      </c>
      <c r="J993" s="9"/>
      <c r="K993" s="9">
        <v>10</v>
      </c>
      <c r="L993" s="1">
        <v>0</v>
      </c>
      <c r="M993" s="1">
        <f t="shared" si="38"/>
        <v>10</v>
      </c>
      <c r="N993" s="11">
        <f t="shared" si="40"/>
        <v>10</v>
      </c>
      <c r="O993" s="9"/>
      <c r="P993" s="9"/>
      <c r="Q993" s="9"/>
      <c r="R993" s="9"/>
      <c r="S993" s="9"/>
      <c r="T993" s="9"/>
      <c r="U993" s="9"/>
    </row>
    <row r="994" spans="2:21" x14ac:dyDescent="0.2">
      <c r="B994" t="s">
        <v>725</v>
      </c>
      <c r="C994" t="s">
        <v>951</v>
      </c>
      <c r="D994" t="s">
        <v>257</v>
      </c>
      <c r="E994" s="11"/>
      <c r="F994" s="9"/>
      <c r="G994" s="10">
        <v>1</v>
      </c>
      <c r="H994" s="10">
        <v>1</v>
      </c>
      <c r="I994">
        <v>0</v>
      </c>
      <c r="J994" s="9"/>
      <c r="K994" s="9">
        <v>10</v>
      </c>
      <c r="L994" s="1">
        <v>0</v>
      </c>
      <c r="M994" s="1">
        <f t="shared" si="38"/>
        <v>10</v>
      </c>
      <c r="N994" s="11">
        <f t="shared" si="40"/>
        <v>10</v>
      </c>
      <c r="O994" s="9"/>
      <c r="P994" s="9"/>
      <c r="Q994" s="9"/>
      <c r="R994" s="9"/>
      <c r="S994" s="9"/>
      <c r="T994" s="9"/>
      <c r="U994" s="9"/>
    </row>
    <row r="995" spans="2:21" x14ac:dyDescent="0.2">
      <c r="B995" t="s">
        <v>32</v>
      </c>
      <c r="C995" t="s">
        <v>952</v>
      </c>
      <c r="D995" t="s">
        <v>17</v>
      </c>
      <c r="E995" s="11"/>
      <c r="F995" s="9"/>
      <c r="G995" s="10">
        <v>1</v>
      </c>
      <c r="H995" s="10">
        <v>1</v>
      </c>
      <c r="I995">
        <v>0</v>
      </c>
      <c r="J995" s="9"/>
      <c r="K995" s="9">
        <v>10</v>
      </c>
      <c r="L995" s="1">
        <v>0</v>
      </c>
      <c r="M995" s="1">
        <f t="shared" si="38"/>
        <v>10</v>
      </c>
      <c r="N995" s="11">
        <f t="shared" si="40"/>
        <v>10</v>
      </c>
      <c r="O995" s="9"/>
      <c r="P995" s="9"/>
      <c r="Q995" s="9"/>
      <c r="R995" s="9"/>
      <c r="S995" s="9"/>
      <c r="T995" s="9"/>
      <c r="U995" s="9"/>
    </row>
    <row r="996" spans="2:21" x14ac:dyDescent="0.2">
      <c r="B996" t="s">
        <v>725</v>
      </c>
      <c r="C996" t="s">
        <v>953</v>
      </c>
      <c r="D996" t="s">
        <v>97</v>
      </c>
      <c r="E996" s="11"/>
      <c r="F996" s="9"/>
      <c r="G996" s="10">
        <v>1</v>
      </c>
      <c r="H996" s="10">
        <v>1</v>
      </c>
      <c r="I996">
        <v>0</v>
      </c>
      <c r="J996" s="9"/>
      <c r="K996" s="9">
        <v>10</v>
      </c>
      <c r="L996" s="1">
        <v>0</v>
      </c>
      <c r="M996" s="1">
        <f t="shared" si="38"/>
        <v>10</v>
      </c>
      <c r="N996" s="11">
        <f t="shared" si="40"/>
        <v>10</v>
      </c>
      <c r="O996" s="9"/>
      <c r="P996" s="9"/>
      <c r="Q996" s="9"/>
      <c r="R996" s="9"/>
      <c r="S996" s="9"/>
      <c r="T996" s="9"/>
      <c r="U996" s="9"/>
    </row>
    <row r="997" spans="2:21" x14ac:dyDescent="0.2">
      <c r="B997" t="s">
        <v>90</v>
      </c>
      <c r="C997" t="s">
        <v>954</v>
      </c>
      <c r="D997" t="s">
        <v>91</v>
      </c>
      <c r="E997" s="11"/>
      <c r="F997" s="9"/>
      <c r="G997" s="10">
        <v>1</v>
      </c>
      <c r="H997" s="10">
        <v>1</v>
      </c>
      <c r="I997">
        <v>0</v>
      </c>
      <c r="J997" s="9"/>
      <c r="K997" s="9">
        <v>10</v>
      </c>
      <c r="L997" s="1">
        <v>0</v>
      </c>
      <c r="M997" s="1">
        <f t="shared" si="38"/>
        <v>10</v>
      </c>
      <c r="N997" s="11">
        <f t="shared" si="40"/>
        <v>10</v>
      </c>
      <c r="O997" s="9"/>
      <c r="P997" s="9"/>
      <c r="Q997" s="9"/>
      <c r="R997" s="9"/>
      <c r="S997" s="9"/>
      <c r="T997" s="9"/>
      <c r="U997" s="9"/>
    </row>
    <row r="998" spans="2:21" x14ac:dyDescent="0.2">
      <c r="B998" t="s">
        <v>725</v>
      </c>
      <c r="C998" t="s">
        <v>955</v>
      </c>
      <c r="D998" t="s">
        <v>97</v>
      </c>
      <c r="E998" s="11"/>
      <c r="F998" s="9"/>
      <c r="G998" s="10">
        <v>1</v>
      </c>
      <c r="H998" s="10">
        <v>1</v>
      </c>
      <c r="I998">
        <v>0</v>
      </c>
      <c r="J998" s="9"/>
      <c r="K998" s="9">
        <v>10</v>
      </c>
      <c r="L998" s="1">
        <v>0</v>
      </c>
      <c r="M998" s="1">
        <f t="shared" si="38"/>
        <v>10</v>
      </c>
      <c r="N998" s="11">
        <f t="shared" si="40"/>
        <v>10</v>
      </c>
      <c r="O998" s="9"/>
      <c r="P998" s="9"/>
      <c r="Q998" s="9"/>
      <c r="R998" s="9"/>
      <c r="S998" s="9"/>
      <c r="T998" s="9"/>
      <c r="U998" s="9"/>
    </row>
    <row r="999" spans="2:21" x14ac:dyDescent="0.2">
      <c r="B999" t="s">
        <v>32</v>
      </c>
      <c r="C999" t="s">
        <v>956</v>
      </c>
      <c r="D999" t="s">
        <v>17</v>
      </c>
      <c r="E999" s="11"/>
      <c r="F999" s="9"/>
      <c r="G999" s="10">
        <v>1</v>
      </c>
      <c r="H999" s="10">
        <v>1</v>
      </c>
      <c r="I999">
        <v>0</v>
      </c>
      <c r="J999" s="9"/>
      <c r="K999" s="9">
        <v>10</v>
      </c>
      <c r="L999" s="1">
        <v>0</v>
      </c>
      <c r="M999" s="1">
        <f t="shared" si="38"/>
        <v>10</v>
      </c>
      <c r="N999" s="11">
        <f t="shared" si="40"/>
        <v>10</v>
      </c>
      <c r="O999" s="9"/>
      <c r="P999" s="9"/>
      <c r="Q999" s="9"/>
      <c r="R999" s="9"/>
      <c r="S999" s="9"/>
      <c r="T999" s="9"/>
      <c r="U999" s="9"/>
    </row>
    <row r="1000" spans="2:21" x14ac:dyDescent="0.2">
      <c r="B1000" t="s">
        <v>32</v>
      </c>
      <c r="C1000" t="s">
        <v>957</v>
      </c>
      <c r="D1000" t="s">
        <v>34</v>
      </c>
      <c r="E1000" s="11"/>
      <c r="F1000" s="9"/>
      <c r="G1000" s="10">
        <v>1</v>
      </c>
      <c r="H1000" s="10">
        <v>1</v>
      </c>
      <c r="I1000">
        <v>0</v>
      </c>
      <c r="J1000" s="9"/>
      <c r="K1000" s="9">
        <v>10</v>
      </c>
      <c r="L1000" s="1">
        <v>0</v>
      </c>
      <c r="M1000" s="1">
        <f t="shared" si="38"/>
        <v>10</v>
      </c>
      <c r="N1000" s="11">
        <f t="shared" si="40"/>
        <v>10</v>
      </c>
      <c r="O1000" s="9"/>
      <c r="P1000" s="9"/>
      <c r="Q1000" s="9"/>
      <c r="R1000" s="9"/>
      <c r="S1000" s="9"/>
      <c r="T1000" s="9"/>
      <c r="U1000" s="9"/>
    </row>
    <row r="1001" spans="2:21" x14ac:dyDescent="0.2">
      <c r="B1001" t="s">
        <v>725</v>
      </c>
      <c r="C1001" t="s">
        <v>958</v>
      </c>
      <c r="D1001" t="s">
        <v>261</v>
      </c>
      <c r="E1001" s="11"/>
      <c r="F1001" s="9"/>
      <c r="G1001" s="10">
        <v>1</v>
      </c>
      <c r="H1001" s="10">
        <v>1</v>
      </c>
      <c r="I1001">
        <v>0</v>
      </c>
      <c r="J1001" s="9"/>
      <c r="K1001" s="9">
        <v>10</v>
      </c>
      <c r="L1001" s="1">
        <v>0</v>
      </c>
      <c r="M1001" s="1">
        <f t="shared" si="38"/>
        <v>10</v>
      </c>
      <c r="N1001" s="11">
        <f t="shared" si="40"/>
        <v>10</v>
      </c>
      <c r="O1001" s="9"/>
      <c r="P1001" s="9"/>
      <c r="Q1001" s="9"/>
      <c r="R1001" s="9"/>
      <c r="S1001" s="9"/>
      <c r="T1001" s="9"/>
      <c r="U1001" s="9"/>
    </row>
    <row r="1002" spans="2:21" x14ac:dyDescent="0.2">
      <c r="B1002" t="s">
        <v>725</v>
      </c>
      <c r="C1002" t="s">
        <v>959</v>
      </c>
      <c r="D1002" t="s">
        <v>257</v>
      </c>
      <c r="E1002" s="11"/>
      <c r="F1002" s="9"/>
      <c r="G1002" s="10">
        <v>1</v>
      </c>
      <c r="H1002" s="10">
        <v>1</v>
      </c>
      <c r="I1002">
        <v>0</v>
      </c>
      <c r="J1002" s="9"/>
      <c r="K1002" s="9">
        <v>10</v>
      </c>
      <c r="L1002" s="1">
        <v>0</v>
      </c>
      <c r="M1002" s="1">
        <f t="shared" si="38"/>
        <v>10</v>
      </c>
      <c r="N1002" s="11">
        <f t="shared" si="40"/>
        <v>10</v>
      </c>
      <c r="O1002" s="9"/>
      <c r="P1002" s="9"/>
      <c r="Q1002" s="9"/>
      <c r="R1002" s="9"/>
      <c r="S1002" s="9"/>
      <c r="T1002" s="9"/>
      <c r="U1002" s="9"/>
    </row>
    <row r="1003" spans="2:21" x14ac:dyDescent="0.2">
      <c r="B1003" t="s">
        <v>725</v>
      </c>
      <c r="C1003" t="s">
        <v>960</v>
      </c>
      <c r="D1003" t="s">
        <v>257</v>
      </c>
      <c r="E1003" s="11"/>
      <c r="F1003" s="9"/>
      <c r="G1003" s="10">
        <v>1</v>
      </c>
      <c r="H1003" s="10">
        <v>1</v>
      </c>
      <c r="I1003">
        <v>0</v>
      </c>
      <c r="J1003" s="9"/>
      <c r="K1003" s="9">
        <v>10</v>
      </c>
      <c r="L1003" s="1">
        <v>0</v>
      </c>
      <c r="M1003" s="1">
        <f t="shared" si="38"/>
        <v>10</v>
      </c>
      <c r="N1003" s="11">
        <f t="shared" si="40"/>
        <v>10</v>
      </c>
      <c r="O1003" s="9"/>
      <c r="P1003" s="9"/>
      <c r="Q1003" s="9"/>
      <c r="R1003" s="9"/>
      <c r="S1003" s="9"/>
      <c r="T1003" s="9"/>
      <c r="U1003" s="9"/>
    </row>
    <row r="1004" spans="2:21" x14ac:dyDescent="0.2">
      <c r="B1004" t="s">
        <v>725</v>
      </c>
      <c r="C1004" t="s">
        <v>961</v>
      </c>
      <c r="D1004" t="s">
        <v>97</v>
      </c>
      <c r="E1004" s="11"/>
      <c r="F1004" s="9"/>
      <c r="G1004" s="10">
        <v>1</v>
      </c>
      <c r="H1004" s="10">
        <v>1</v>
      </c>
      <c r="I1004">
        <v>0</v>
      </c>
      <c r="J1004" s="9"/>
      <c r="K1004" s="9">
        <v>10</v>
      </c>
      <c r="L1004" s="1">
        <v>0</v>
      </c>
      <c r="M1004" s="1">
        <f t="shared" si="38"/>
        <v>10</v>
      </c>
      <c r="N1004" s="11">
        <f t="shared" si="40"/>
        <v>10</v>
      </c>
      <c r="O1004" s="9"/>
      <c r="P1004" s="9"/>
      <c r="Q1004" s="9"/>
      <c r="R1004" s="9"/>
      <c r="S1004" s="9"/>
      <c r="T1004" s="9"/>
      <c r="U1004" s="9"/>
    </row>
    <row r="1005" spans="2:21" x14ac:dyDescent="0.2">
      <c r="B1005" t="s">
        <v>962</v>
      </c>
      <c r="C1005" t="s">
        <v>963</v>
      </c>
      <c r="D1005" t="s">
        <v>964</v>
      </c>
      <c r="E1005" s="11"/>
      <c r="F1005" s="9"/>
      <c r="G1005" s="10">
        <v>1</v>
      </c>
      <c r="H1005" s="10">
        <v>1</v>
      </c>
      <c r="I1005">
        <v>0</v>
      </c>
      <c r="J1005" s="9"/>
      <c r="K1005" s="9">
        <v>10</v>
      </c>
      <c r="L1005" s="1">
        <v>0</v>
      </c>
      <c r="M1005" s="1">
        <f t="shared" si="38"/>
        <v>10</v>
      </c>
      <c r="N1005" s="11">
        <f t="shared" si="40"/>
        <v>10</v>
      </c>
      <c r="O1005" s="9"/>
      <c r="P1005" s="9"/>
      <c r="Q1005" s="9"/>
      <c r="R1005" s="9"/>
      <c r="S1005" s="9"/>
      <c r="T1005" s="9"/>
      <c r="U1005" s="9"/>
    </row>
    <row r="1006" spans="2:21" x14ac:dyDescent="0.2">
      <c r="B1006" t="s">
        <v>90</v>
      </c>
      <c r="C1006" t="s">
        <v>965</v>
      </c>
      <c r="D1006" t="s">
        <v>91</v>
      </c>
      <c r="E1006" s="11"/>
      <c r="F1006" s="9"/>
      <c r="G1006" s="10">
        <v>1</v>
      </c>
      <c r="H1006" s="10">
        <v>1</v>
      </c>
      <c r="I1006">
        <v>0</v>
      </c>
      <c r="J1006" s="9"/>
      <c r="K1006" s="9">
        <v>10</v>
      </c>
      <c r="L1006" s="1">
        <v>0</v>
      </c>
      <c r="M1006" s="1">
        <f t="shared" si="38"/>
        <v>10</v>
      </c>
      <c r="N1006" s="11">
        <f t="shared" si="40"/>
        <v>10</v>
      </c>
      <c r="O1006" s="9"/>
      <c r="P1006" s="9"/>
      <c r="Q1006" s="9"/>
      <c r="R1006" s="9"/>
      <c r="S1006" s="9"/>
      <c r="T1006" s="9"/>
      <c r="U1006" s="9"/>
    </row>
    <row r="1007" spans="2:21" x14ac:dyDescent="0.2">
      <c r="B1007" t="s">
        <v>32</v>
      </c>
      <c r="C1007" t="s">
        <v>966</v>
      </c>
      <c r="D1007" t="s">
        <v>17</v>
      </c>
      <c r="E1007" s="11"/>
      <c r="F1007" s="9"/>
      <c r="G1007" s="10">
        <v>1</v>
      </c>
      <c r="H1007" s="10">
        <v>1</v>
      </c>
      <c r="I1007">
        <v>0</v>
      </c>
      <c r="J1007" s="9"/>
      <c r="K1007" s="9">
        <v>10</v>
      </c>
      <c r="L1007" s="1">
        <v>0</v>
      </c>
      <c r="M1007" s="1">
        <f t="shared" si="38"/>
        <v>10</v>
      </c>
      <c r="N1007" s="11">
        <f t="shared" si="40"/>
        <v>10</v>
      </c>
      <c r="O1007" s="9"/>
      <c r="P1007" s="9"/>
      <c r="Q1007" s="9"/>
      <c r="R1007" s="9"/>
      <c r="S1007" s="9"/>
      <c r="T1007" s="9"/>
      <c r="U1007" s="9"/>
    </row>
    <row r="1008" spans="2:21" x14ac:dyDescent="0.2">
      <c r="B1008" t="s">
        <v>32</v>
      </c>
      <c r="C1008" t="s">
        <v>967</v>
      </c>
      <c r="D1008" t="s">
        <v>34</v>
      </c>
      <c r="E1008" s="11"/>
      <c r="F1008" s="9"/>
      <c r="G1008" s="10">
        <v>1</v>
      </c>
      <c r="H1008" s="10">
        <v>1</v>
      </c>
      <c r="I1008">
        <v>0</v>
      </c>
      <c r="J1008" s="9"/>
      <c r="K1008" s="9">
        <v>10</v>
      </c>
      <c r="L1008" s="1">
        <v>0</v>
      </c>
      <c r="M1008" s="1">
        <f t="shared" si="38"/>
        <v>10</v>
      </c>
      <c r="N1008" s="11">
        <f t="shared" si="40"/>
        <v>10</v>
      </c>
      <c r="O1008" s="9"/>
      <c r="P1008" s="9"/>
      <c r="Q1008" s="9"/>
      <c r="R1008" s="9"/>
      <c r="S1008" s="9"/>
      <c r="T1008" s="9"/>
      <c r="U1008" s="9"/>
    </row>
    <row r="1009" spans="2:21" x14ac:dyDescent="0.2">
      <c r="B1009" t="s">
        <v>90</v>
      </c>
      <c r="C1009" t="s">
        <v>968</v>
      </c>
      <c r="D1009" t="s">
        <v>95</v>
      </c>
      <c r="E1009" s="11"/>
      <c r="F1009" s="9"/>
      <c r="G1009" s="10">
        <v>1</v>
      </c>
      <c r="H1009" s="10">
        <v>1</v>
      </c>
      <c r="I1009">
        <v>0</v>
      </c>
      <c r="J1009" s="9"/>
      <c r="K1009" s="9">
        <v>10</v>
      </c>
      <c r="L1009" s="1">
        <v>0</v>
      </c>
      <c r="M1009" s="1">
        <f t="shared" si="38"/>
        <v>10</v>
      </c>
      <c r="N1009" s="11">
        <f t="shared" si="40"/>
        <v>10</v>
      </c>
      <c r="O1009" s="9"/>
      <c r="P1009" s="9"/>
      <c r="Q1009" s="9"/>
      <c r="R1009" s="9"/>
      <c r="S1009" s="9"/>
      <c r="T1009" s="9"/>
      <c r="U1009" s="9"/>
    </row>
    <row r="1010" spans="2:21" x14ac:dyDescent="0.2">
      <c r="B1010" t="s">
        <v>725</v>
      </c>
      <c r="C1010" t="s">
        <v>969</v>
      </c>
      <c r="D1010" t="s">
        <v>97</v>
      </c>
      <c r="E1010" s="11"/>
      <c r="F1010" s="9"/>
      <c r="G1010" s="10">
        <v>1</v>
      </c>
      <c r="H1010" s="10">
        <v>1</v>
      </c>
      <c r="I1010">
        <v>0</v>
      </c>
      <c r="J1010" s="9"/>
      <c r="K1010" s="9">
        <v>10</v>
      </c>
      <c r="L1010" s="1">
        <v>0</v>
      </c>
      <c r="M1010" s="1">
        <f t="shared" si="38"/>
        <v>10</v>
      </c>
      <c r="N1010" s="11">
        <f t="shared" si="40"/>
        <v>10</v>
      </c>
      <c r="O1010" s="9"/>
      <c r="P1010" s="9"/>
      <c r="Q1010" s="9"/>
      <c r="R1010" s="9"/>
      <c r="S1010" s="9"/>
      <c r="T1010" s="9"/>
      <c r="U1010" s="9"/>
    </row>
    <row r="1011" spans="2:21" x14ac:dyDescent="0.2">
      <c r="B1011" t="s">
        <v>970</v>
      </c>
      <c r="C1011" t="s">
        <v>971</v>
      </c>
      <c r="D1011" t="s">
        <v>972</v>
      </c>
      <c r="E1011" s="11"/>
      <c r="F1011" s="9"/>
      <c r="G1011" s="10">
        <v>1</v>
      </c>
      <c r="H1011" s="10">
        <v>1</v>
      </c>
      <c r="I1011">
        <v>0</v>
      </c>
      <c r="J1011" s="9"/>
      <c r="K1011" s="9">
        <v>50</v>
      </c>
      <c r="L1011" s="1">
        <v>0</v>
      </c>
      <c r="M1011" s="1">
        <f t="shared" si="38"/>
        <v>50</v>
      </c>
      <c r="N1011" s="11">
        <f t="shared" si="40"/>
        <v>50</v>
      </c>
      <c r="O1011" s="9"/>
      <c r="P1011" s="9"/>
      <c r="Q1011" s="9"/>
      <c r="R1011" s="9"/>
      <c r="S1011" s="9"/>
      <c r="T1011" s="9"/>
      <c r="U1011" s="9"/>
    </row>
    <row r="1012" spans="2:21" x14ac:dyDescent="0.2">
      <c r="B1012" t="s">
        <v>970</v>
      </c>
      <c r="C1012" t="s">
        <v>973</v>
      </c>
      <c r="D1012" t="s">
        <v>156</v>
      </c>
      <c r="E1012" s="11"/>
      <c r="F1012" s="9"/>
      <c r="G1012" s="10">
        <v>1</v>
      </c>
      <c r="H1012" s="10">
        <v>1</v>
      </c>
      <c r="I1012">
        <v>0</v>
      </c>
      <c r="J1012" s="9"/>
      <c r="K1012" s="9">
        <v>40</v>
      </c>
      <c r="L1012" s="1">
        <v>0</v>
      </c>
      <c r="M1012" s="1">
        <f t="shared" si="38"/>
        <v>40</v>
      </c>
      <c r="N1012" s="11">
        <f t="shared" si="40"/>
        <v>40</v>
      </c>
      <c r="O1012" s="9"/>
      <c r="P1012" s="9"/>
      <c r="Q1012" s="9"/>
      <c r="R1012" s="9"/>
      <c r="S1012" s="9"/>
      <c r="T1012" s="9"/>
      <c r="U1012" s="9"/>
    </row>
    <row r="1013" spans="2:21" x14ac:dyDescent="0.2">
      <c r="B1013" t="s">
        <v>970</v>
      </c>
      <c r="C1013" t="s">
        <v>974</v>
      </c>
      <c r="D1013" t="s">
        <v>158</v>
      </c>
      <c r="E1013" s="11"/>
      <c r="F1013" s="9"/>
      <c r="G1013" s="10">
        <v>3</v>
      </c>
      <c r="H1013" s="10">
        <v>2</v>
      </c>
      <c r="I1013" s="10">
        <v>1</v>
      </c>
      <c r="J1013" s="9"/>
      <c r="K1013" s="9">
        <v>30</v>
      </c>
      <c r="L1013" s="1">
        <v>0</v>
      </c>
      <c r="M1013" s="1">
        <f t="shared" si="38"/>
        <v>30</v>
      </c>
      <c r="N1013" s="11">
        <f t="shared" si="40"/>
        <v>90</v>
      </c>
      <c r="O1013" s="9"/>
      <c r="P1013" s="9"/>
      <c r="Q1013" s="9"/>
      <c r="R1013" s="9"/>
      <c r="S1013" s="9"/>
      <c r="T1013" s="9"/>
      <c r="U1013" s="9"/>
    </row>
    <row r="1014" spans="2:21" x14ac:dyDescent="0.2">
      <c r="B1014" t="s">
        <v>970</v>
      </c>
      <c r="C1014" t="s">
        <v>974</v>
      </c>
      <c r="D1014" t="s">
        <v>156</v>
      </c>
      <c r="E1014" s="11"/>
      <c r="F1014" s="9"/>
      <c r="G1014" s="10">
        <v>1</v>
      </c>
      <c r="H1014" s="10">
        <v>1</v>
      </c>
      <c r="I1014">
        <v>0</v>
      </c>
      <c r="J1014" s="9"/>
      <c r="K1014" s="9">
        <v>30</v>
      </c>
      <c r="L1014" s="1">
        <v>0</v>
      </c>
      <c r="M1014" s="1">
        <f t="shared" si="38"/>
        <v>30</v>
      </c>
      <c r="N1014" s="11">
        <f t="shared" si="40"/>
        <v>30</v>
      </c>
      <c r="O1014" s="9"/>
      <c r="P1014" s="9"/>
      <c r="Q1014" s="9"/>
      <c r="R1014" s="9"/>
      <c r="S1014" s="9"/>
      <c r="T1014" s="9"/>
      <c r="U1014" s="9"/>
    </row>
    <row r="1015" spans="2:21" x14ac:dyDescent="0.2">
      <c r="B1015" t="s">
        <v>970</v>
      </c>
      <c r="C1015" t="s">
        <v>974</v>
      </c>
      <c r="D1015" t="s">
        <v>385</v>
      </c>
      <c r="E1015" s="11"/>
      <c r="F1015" s="9"/>
      <c r="G1015" s="10">
        <v>1</v>
      </c>
      <c r="H1015" s="10">
        <v>1</v>
      </c>
      <c r="I1015">
        <v>0</v>
      </c>
      <c r="J1015" s="9"/>
      <c r="K1015" s="9">
        <v>30</v>
      </c>
      <c r="L1015" s="1">
        <v>0</v>
      </c>
      <c r="M1015" s="1">
        <f t="shared" si="38"/>
        <v>30</v>
      </c>
      <c r="N1015" s="11">
        <f t="shared" si="40"/>
        <v>30</v>
      </c>
      <c r="O1015" s="9"/>
      <c r="P1015" s="9"/>
      <c r="Q1015" s="9"/>
      <c r="R1015" s="9"/>
      <c r="S1015" s="9"/>
      <c r="T1015" s="9"/>
      <c r="U1015" s="9"/>
    </row>
    <row r="1016" spans="2:21" x14ac:dyDescent="0.2">
      <c r="B1016" t="s">
        <v>970</v>
      </c>
      <c r="C1016" t="s">
        <v>975</v>
      </c>
      <c r="D1016" t="s">
        <v>158</v>
      </c>
      <c r="E1016" s="11"/>
      <c r="F1016" s="9"/>
      <c r="G1016" s="10">
        <v>1</v>
      </c>
      <c r="H1016" s="10">
        <v>1</v>
      </c>
      <c r="I1016">
        <v>0</v>
      </c>
      <c r="J1016" s="9"/>
      <c r="K1016" s="9">
        <v>30</v>
      </c>
      <c r="L1016" s="1">
        <v>0</v>
      </c>
      <c r="M1016" s="1">
        <f t="shared" si="38"/>
        <v>30</v>
      </c>
      <c r="N1016" s="11">
        <f t="shared" si="40"/>
        <v>30</v>
      </c>
      <c r="O1016" s="9"/>
      <c r="P1016" s="9"/>
      <c r="Q1016" s="9"/>
      <c r="R1016" s="9"/>
      <c r="S1016" s="9"/>
      <c r="T1016" s="9"/>
      <c r="U1016" s="9"/>
    </row>
    <row r="1017" spans="2:21" x14ac:dyDescent="0.2">
      <c r="B1017" t="s">
        <v>970</v>
      </c>
      <c r="C1017" t="s">
        <v>975</v>
      </c>
      <c r="D1017" t="s">
        <v>156</v>
      </c>
      <c r="E1017" s="11"/>
      <c r="F1017" s="9"/>
      <c r="G1017" s="10">
        <v>1</v>
      </c>
      <c r="H1017" s="10">
        <v>1</v>
      </c>
      <c r="I1017">
        <v>0</v>
      </c>
      <c r="J1017" s="9"/>
      <c r="K1017" s="9">
        <v>30</v>
      </c>
      <c r="L1017" s="1">
        <v>0</v>
      </c>
      <c r="M1017" s="1">
        <f t="shared" ref="M1017:M1080" si="41">K1017+L1017</f>
        <v>30</v>
      </c>
      <c r="N1017" s="11">
        <f t="shared" si="40"/>
        <v>30</v>
      </c>
      <c r="O1017" s="9"/>
      <c r="P1017" s="9"/>
      <c r="Q1017" s="9"/>
      <c r="R1017" s="9"/>
      <c r="S1017" s="9"/>
      <c r="T1017" s="9"/>
      <c r="U1017" s="9"/>
    </row>
    <row r="1018" spans="2:21" x14ac:dyDescent="0.2">
      <c r="B1018" t="s">
        <v>970</v>
      </c>
      <c r="C1018" t="s">
        <v>975</v>
      </c>
      <c r="D1018" t="s">
        <v>385</v>
      </c>
      <c r="E1018" s="11"/>
      <c r="F1018" s="9"/>
      <c r="G1018" s="10">
        <v>1</v>
      </c>
      <c r="H1018" s="10">
        <v>1</v>
      </c>
      <c r="I1018">
        <v>0</v>
      </c>
      <c r="J1018" s="9"/>
      <c r="K1018" s="9">
        <v>30</v>
      </c>
      <c r="L1018" s="1">
        <v>0</v>
      </c>
      <c r="M1018" s="1">
        <f t="shared" si="41"/>
        <v>30</v>
      </c>
      <c r="N1018" s="11">
        <f t="shared" si="40"/>
        <v>30</v>
      </c>
      <c r="O1018" s="9"/>
      <c r="P1018" s="9"/>
      <c r="Q1018" s="9"/>
      <c r="R1018" s="9"/>
      <c r="S1018" s="9"/>
      <c r="T1018" s="9"/>
      <c r="U1018" s="9"/>
    </row>
    <row r="1019" spans="2:21" x14ac:dyDescent="0.2">
      <c r="B1019" t="s">
        <v>976</v>
      </c>
      <c r="C1019" t="s">
        <v>977</v>
      </c>
      <c r="D1019" t="s">
        <v>128</v>
      </c>
      <c r="E1019" s="11"/>
      <c r="F1019" s="9"/>
      <c r="G1019" s="10">
        <v>2</v>
      </c>
      <c r="H1019" s="10">
        <v>2</v>
      </c>
      <c r="I1019">
        <v>0</v>
      </c>
      <c r="J1019" s="9"/>
      <c r="K1019" s="9">
        <v>25</v>
      </c>
      <c r="L1019" s="1">
        <v>0</v>
      </c>
      <c r="M1019" s="1">
        <f t="shared" si="41"/>
        <v>25</v>
      </c>
      <c r="N1019" s="11">
        <f t="shared" si="40"/>
        <v>50</v>
      </c>
      <c r="O1019" s="9"/>
      <c r="P1019" s="9"/>
      <c r="Q1019" s="9"/>
      <c r="R1019" s="9"/>
      <c r="S1019" s="9"/>
      <c r="T1019" s="9"/>
      <c r="U1019" s="9"/>
    </row>
    <row r="1020" spans="2:21" x14ac:dyDescent="0.2">
      <c r="B1020" t="s">
        <v>976</v>
      </c>
      <c r="C1020" t="s">
        <v>978</v>
      </c>
      <c r="D1020" t="s">
        <v>132</v>
      </c>
      <c r="E1020" s="11"/>
      <c r="F1020" s="9"/>
      <c r="G1020" s="10">
        <v>1</v>
      </c>
      <c r="H1020" s="10">
        <v>1</v>
      </c>
      <c r="I1020">
        <v>0</v>
      </c>
      <c r="J1020" s="9"/>
      <c r="K1020" s="9">
        <v>25</v>
      </c>
      <c r="L1020" s="1">
        <v>0</v>
      </c>
      <c r="M1020" s="1">
        <f t="shared" si="41"/>
        <v>25</v>
      </c>
      <c r="N1020" s="11">
        <f t="shared" si="40"/>
        <v>25</v>
      </c>
      <c r="O1020" s="9"/>
      <c r="P1020" s="9"/>
      <c r="Q1020" s="9"/>
      <c r="R1020" s="9"/>
      <c r="S1020" s="9"/>
      <c r="T1020" s="9"/>
      <c r="U1020" s="9"/>
    </row>
    <row r="1021" spans="2:21" x14ac:dyDescent="0.2">
      <c r="B1021" t="s">
        <v>976</v>
      </c>
      <c r="C1021" t="s">
        <v>978</v>
      </c>
      <c r="D1021" t="s">
        <v>129</v>
      </c>
      <c r="E1021" s="11"/>
      <c r="F1021" s="9"/>
      <c r="G1021" s="10">
        <v>2</v>
      </c>
      <c r="H1021" s="10">
        <v>2</v>
      </c>
      <c r="I1021">
        <v>0</v>
      </c>
      <c r="J1021" s="9"/>
      <c r="K1021" s="9">
        <v>25</v>
      </c>
      <c r="L1021" s="1">
        <v>0</v>
      </c>
      <c r="M1021" s="1">
        <f t="shared" si="41"/>
        <v>25</v>
      </c>
      <c r="N1021" s="11">
        <f t="shared" si="40"/>
        <v>50</v>
      </c>
      <c r="O1021" s="9"/>
      <c r="P1021" s="9"/>
      <c r="Q1021" s="9"/>
      <c r="R1021" s="9"/>
      <c r="S1021" s="9"/>
      <c r="T1021" s="9"/>
      <c r="U1021" s="9"/>
    </row>
    <row r="1022" spans="2:21" x14ac:dyDescent="0.2">
      <c r="B1022" t="s">
        <v>976</v>
      </c>
      <c r="C1022" t="s">
        <v>979</v>
      </c>
      <c r="D1022" t="s">
        <v>129</v>
      </c>
      <c r="E1022" s="11"/>
      <c r="F1022" s="9"/>
      <c r="G1022" s="10">
        <v>3</v>
      </c>
      <c r="H1022" s="10">
        <v>1</v>
      </c>
      <c r="I1022">
        <v>2</v>
      </c>
      <c r="J1022" s="9"/>
      <c r="K1022" s="9">
        <v>25</v>
      </c>
      <c r="L1022" s="1">
        <v>0</v>
      </c>
      <c r="M1022" s="1">
        <f t="shared" si="41"/>
        <v>25</v>
      </c>
      <c r="N1022" s="11">
        <f t="shared" si="40"/>
        <v>75</v>
      </c>
      <c r="O1022" s="9"/>
      <c r="P1022" s="9"/>
      <c r="Q1022" s="9"/>
      <c r="R1022" s="9"/>
      <c r="S1022" s="9"/>
      <c r="T1022" s="9"/>
      <c r="U1022" s="9"/>
    </row>
    <row r="1023" spans="2:21" x14ac:dyDescent="0.2">
      <c r="B1023" t="s">
        <v>976</v>
      </c>
      <c r="C1023" t="s">
        <v>979</v>
      </c>
      <c r="D1023" t="s">
        <v>131</v>
      </c>
      <c r="E1023" s="11"/>
      <c r="F1023" s="9"/>
      <c r="G1023" s="10">
        <v>1</v>
      </c>
      <c r="H1023" s="10">
        <v>1</v>
      </c>
      <c r="I1023">
        <v>0</v>
      </c>
      <c r="J1023" s="9"/>
      <c r="K1023" s="9">
        <v>25</v>
      </c>
      <c r="L1023" s="1">
        <v>0</v>
      </c>
      <c r="M1023" s="1">
        <f t="shared" si="41"/>
        <v>25</v>
      </c>
      <c r="N1023" s="11">
        <f t="shared" si="40"/>
        <v>25</v>
      </c>
      <c r="O1023" s="9"/>
      <c r="P1023" s="9"/>
      <c r="Q1023" s="9"/>
      <c r="R1023" s="9"/>
      <c r="S1023" s="9"/>
      <c r="T1023" s="9"/>
      <c r="U1023" s="9"/>
    </row>
    <row r="1024" spans="2:21" x14ac:dyDescent="0.2">
      <c r="B1024" t="s">
        <v>976</v>
      </c>
      <c r="C1024" t="s">
        <v>979</v>
      </c>
      <c r="D1024" t="s">
        <v>130</v>
      </c>
      <c r="E1024" s="11"/>
      <c r="F1024" s="9"/>
      <c r="G1024" s="10">
        <v>2</v>
      </c>
      <c r="H1024" s="10">
        <v>1</v>
      </c>
      <c r="I1024">
        <v>1</v>
      </c>
      <c r="J1024" s="9"/>
      <c r="K1024" s="9">
        <v>25</v>
      </c>
      <c r="L1024" s="1">
        <v>0</v>
      </c>
      <c r="M1024" s="1">
        <f t="shared" si="41"/>
        <v>25</v>
      </c>
      <c r="N1024" s="11">
        <f t="shared" si="40"/>
        <v>50</v>
      </c>
      <c r="O1024" s="9"/>
      <c r="P1024" s="9"/>
      <c r="Q1024" s="9"/>
      <c r="R1024" s="9"/>
      <c r="S1024" s="9"/>
      <c r="T1024" s="9"/>
      <c r="U1024" s="9"/>
    </row>
    <row r="1025" spans="2:21" x14ac:dyDescent="0.2">
      <c r="B1025" t="s">
        <v>976</v>
      </c>
      <c r="C1025" t="s">
        <v>979</v>
      </c>
      <c r="D1025" t="s">
        <v>384</v>
      </c>
      <c r="E1025" s="11"/>
      <c r="F1025" s="9"/>
      <c r="G1025" s="10">
        <v>1</v>
      </c>
      <c r="H1025" s="10">
        <v>1</v>
      </c>
      <c r="I1025">
        <v>0</v>
      </c>
      <c r="J1025" s="9"/>
      <c r="K1025" s="9">
        <v>25</v>
      </c>
      <c r="L1025" s="1">
        <v>0</v>
      </c>
      <c r="M1025" s="1">
        <f t="shared" si="41"/>
        <v>25</v>
      </c>
      <c r="N1025" s="11">
        <f t="shared" si="40"/>
        <v>25</v>
      </c>
      <c r="O1025" s="9"/>
      <c r="P1025" s="9"/>
      <c r="Q1025" s="9"/>
      <c r="R1025" s="9"/>
      <c r="S1025" s="9"/>
      <c r="T1025" s="9"/>
      <c r="U1025" s="9"/>
    </row>
    <row r="1026" spans="2:21" x14ac:dyDescent="0.2">
      <c r="B1026" t="s">
        <v>976</v>
      </c>
      <c r="C1026" t="s">
        <v>980</v>
      </c>
      <c r="D1026" t="s">
        <v>130</v>
      </c>
      <c r="E1026" s="11"/>
      <c r="F1026" s="9"/>
      <c r="G1026" s="10">
        <v>1</v>
      </c>
      <c r="H1026" s="10">
        <v>1</v>
      </c>
      <c r="I1026">
        <v>0</v>
      </c>
      <c r="J1026" s="9"/>
      <c r="K1026" s="9">
        <v>25</v>
      </c>
      <c r="L1026" s="1">
        <v>0</v>
      </c>
      <c r="M1026" s="1">
        <f t="shared" si="41"/>
        <v>25</v>
      </c>
      <c r="N1026" s="11">
        <f t="shared" si="40"/>
        <v>25</v>
      </c>
      <c r="O1026" s="9"/>
      <c r="P1026" s="9"/>
      <c r="Q1026" s="9"/>
      <c r="R1026" s="9"/>
      <c r="S1026" s="9"/>
      <c r="T1026" s="9"/>
      <c r="U1026" s="9"/>
    </row>
    <row r="1027" spans="2:21" x14ac:dyDescent="0.2">
      <c r="B1027" t="s">
        <v>121</v>
      </c>
      <c r="C1027" t="s">
        <v>981</v>
      </c>
      <c r="D1027" t="s">
        <v>17</v>
      </c>
      <c r="G1027">
        <v>3</v>
      </c>
      <c r="H1027">
        <v>2</v>
      </c>
      <c r="I1027">
        <v>1</v>
      </c>
      <c r="K1027" s="9">
        <v>14.56</v>
      </c>
      <c r="L1027" s="9">
        <v>5</v>
      </c>
      <c r="M1027" s="1">
        <f t="shared" si="41"/>
        <v>19.560000000000002</v>
      </c>
      <c r="N1027" s="11">
        <f t="shared" ref="N1027:N1090" si="42">G1027*K1027</f>
        <v>43.68</v>
      </c>
    </row>
    <row r="1028" spans="2:21" x14ac:dyDescent="0.2">
      <c r="B1028" t="s">
        <v>121</v>
      </c>
      <c r="C1028" t="s">
        <v>982</v>
      </c>
      <c r="D1028" t="s">
        <v>17</v>
      </c>
      <c r="G1028">
        <v>3</v>
      </c>
      <c r="H1028">
        <v>2</v>
      </c>
      <c r="I1028">
        <v>1</v>
      </c>
      <c r="K1028" s="9">
        <v>14.56</v>
      </c>
      <c r="L1028" s="9">
        <v>5</v>
      </c>
      <c r="M1028" s="1">
        <f t="shared" si="41"/>
        <v>19.560000000000002</v>
      </c>
      <c r="N1028" s="11">
        <f t="shared" si="42"/>
        <v>43.68</v>
      </c>
    </row>
    <row r="1029" spans="2:21" x14ac:dyDescent="0.2">
      <c r="B1029" t="s">
        <v>121</v>
      </c>
      <c r="C1029" t="s">
        <v>983</v>
      </c>
      <c r="D1029" t="s">
        <v>17</v>
      </c>
      <c r="G1029">
        <v>3</v>
      </c>
      <c r="H1029">
        <v>2</v>
      </c>
      <c r="I1029">
        <v>1</v>
      </c>
      <c r="K1029" s="9">
        <v>14.56</v>
      </c>
      <c r="L1029" s="9">
        <v>5</v>
      </c>
      <c r="M1029" s="1">
        <f t="shared" si="41"/>
        <v>19.560000000000002</v>
      </c>
      <c r="N1029" s="11">
        <f t="shared" si="42"/>
        <v>43.68</v>
      </c>
    </row>
    <row r="1030" spans="2:21" x14ac:dyDescent="0.2">
      <c r="B1030" t="s">
        <v>121</v>
      </c>
      <c r="C1030" t="s">
        <v>981</v>
      </c>
      <c r="D1030" t="s">
        <v>34</v>
      </c>
      <c r="G1030">
        <v>3</v>
      </c>
      <c r="H1030">
        <v>2</v>
      </c>
      <c r="I1030">
        <v>1</v>
      </c>
      <c r="K1030" s="9">
        <v>14.56</v>
      </c>
      <c r="L1030" s="9">
        <v>5</v>
      </c>
      <c r="M1030" s="1">
        <f t="shared" si="41"/>
        <v>19.560000000000002</v>
      </c>
      <c r="N1030" s="11">
        <f t="shared" si="42"/>
        <v>43.68</v>
      </c>
    </row>
    <row r="1031" spans="2:21" x14ac:dyDescent="0.2">
      <c r="B1031" t="s">
        <v>121</v>
      </c>
      <c r="C1031" t="s">
        <v>982</v>
      </c>
      <c r="D1031" t="s">
        <v>34</v>
      </c>
      <c r="G1031">
        <v>3</v>
      </c>
      <c r="H1031">
        <v>1</v>
      </c>
      <c r="I1031">
        <v>2</v>
      </c>
      <c r="K1031" s="9">
        <v>14.56</v>
      </c>
      <c r="L1031" s="9">
        <v>5</v>
      </c>
      <c r="M1031" s="1">
        <f t="shared" si="41"/>
        <v>19.560000000000002</v>
      </c>
      <c r="N1031" s="11">
        <f t="shared" si="42"/>
        <v>43.68</v>
      </c>
    </row>
    <row r="1032" spans="2:21" x14ac:dyDescent="0.2">
      <c r="B1032" t="s">
        <v>121</v>
      </c>
      <c r="C1032" t="s">
        <v>983</v>
      </c>
      <c r="D1032" t="s">
        <v>34</v>
      </c>
      <c r="G1032">
        <v>3</v>
      </c>
      <c r="H1032">
        <v>2</v>
      </c>
      <c r="I1032">
        <v>1</v>
      </c>
      <c r="K1032" s="9">
        <v>14.56</v>
      </c>
      <c r="L1032" s="9">
        <v>5</v>
      </c>
      <c r="M1032" s="1">
        <f t="shared" si="41"/>
        <v>19.560000000000002</v>
      </c>
      <c r="N1032" s="11">
        <f t="shared" si="42"/>
        <v>43.68</v>
      </c>
    </row>
    <row r="1033" spans="2:21" x14ac:dyDescent="0.2">
      <c r="B1033" t="s">
        <v>112</v>
      </c>
      <c r="C1033" t="s">
        <v>981</v>
      </c>
      <c r="D1033" t="s">
        <v>97</v>
      </c>
      <c r="G1033">
        <v>3</v>
      </c>
      <c r="H1033">
        <v>3</v>
      </c>
      <c r="I1033">
        <v>0</v>
      </c>
      <c r="K1033" s="9">
        <v>14.56</v>
      </c>
      <c r="L1033" s="9">
        <v>5</v>
      </c>
      <c r="M1033" s="1">
        <f t="shared" si="41"/>
        <v>19.560000000000002</v>
      </c>
      <c r="N1033" s="11">
        <f t="shared" si="42"/>
        <v>43.68</v>
      </c>
    </row>
    <row r="1034" spans="2:21" x14ac:dyDescent="0.2">
      <c r="B1034" t="s">
        <v>112</v>
      </c>
      <c r="C1034" t="s">
        <v>982</v>
      </c>
      <c r="D1034" t="s">
        <v>97</v>
      </c>
      <c r="G1034">
        <v>3</v>
      </c>
      <c r="H1034">
        <v>3</v>
      </c>
      <c r="I1034">
        <v>0</v>
      </c>
      <c r="K1034" s="9">
        <v>14.56</v>
      </c>
      <c r="L1034" s="9">
        <v>5</v>
      </c>
      <c r="M1034" s="1">
        <f t="shared" si="41"/>
        <v>19.560000000000002</v>
      </c>
      <c r="N1034" s="11">
        <f t="shared" si="42"/>
        <v>43.68</v>
      </c>
    </row>
    <row r="1035" spans="2:21" x14ac:dyDescent="0.2">
      <c r="B1035" t="s">
        <v>112</v>
      </c>
      <c r="C1035" t="s">
        <v>983</v>
      </c>
      <c r="D1035" t="s">
        <v>97</v>
      </c>
      <c r="G1035">
        <v>3</v>
      </c>
      <c r="H1035">
        <v>3</v>
      </c>
      <c r="I1035">
        <v>0</v>
      </c>
      <c r="K1035" s="9">
        <v>14.56</v>
      </c>
      <c r="L1035" s="9">
        <v>5</v>
      </c>
      <c r="M1035" s="1">
        <f t="shared" si="41"/>
        <v>19.560000000000002</v>
      </c>
      <c r="N1035" s="11">
        <f t="shared" si="42"/>
        <v>43.68</v>
      </c>
    </row>
    <row r="1036" spans="2:21" x14ac:dyDescent="0.2">
      <c r="B1036" t="s">
        <v>110</v>
      </c>
      <c r="C1036" t="s">
        <v>981</v>
      </c>
      <c r="D1036" t="s">
        <v>91</v>
      </c>
      <c r="G1036">
        <v>3</v>
      </c>
      <c r="H1036">
        <v>3</v>
      </c>
      <c r="I1036">
        <v>0</v>
      </c>
      <c r="K1036" s="9">
        <v>14.56</v>
      </c>
      <c r="L1036" s="9">
        <v>5</v>
      </c>
      <c r="M1036" s="1">
        <f t="shared" si="41"/>
        <v>19.560000000000002</v>
      </c>
      <c r="N1036" s="11">
        <f t="shared" si="42"/>
        <v>43.68</v>
      </c>
    </row>
    <row r="1037" spans="2:21" x14ac:dyDescent="0.2">
      <c r="B1037" t="s">
        <v>110</v>
      </c>
      <c r="C1037" t="s">
        <v>982</v>
      </c>
      <c r="D1037" t="s">
        <v>91</v>
      </c>
      <c r="G1037">
        <v>3</v>
      </c>
      <c r="H1037">
        <v>3</v>
      </c>
      <c r="I1037">
        <v>0</v>
      </c>
      <c r="K1037" s="9">
        <v>14.56</v>
      </c>
      <c r="L1037" s="9">
        <v>5</v>
      </c>
      <c r="M1037" s="1">
        <f t="shared" si="41"/>
        <v>19.560000000000002</v>
      </c>
      <c r="N1037" s="11">
        <f t="shared" si="42"/>
        <v>43.68</v>
      </c>
    </row>
    <row r="1038" spans="2:21" x14ac:dyDescent="0.2">
      <c r="B1038" t="s">
        <v>110</v>
      </c>
      <c r="C1038" t="s">
        <v>983</v>
      </c>
      <c r="D1038" t="s">
        <v>91</v>
      </c>
      <c r="G1038">
        <v>3</v>
      </c>
      <c r="H1038">
        <v>3</v>
      </c>
      <c r="I1038">
        <v>0</v>
      </c>
      <c r="K1038" s="9">
        <v>14.56</v>
      </c>
      <c r="L1038" s="9">
        <v>5</v>
      </c>
      <c r="M1038" s="1">
        <f t="shared" si="41"/>
        <v>19.560000000000002</v>
      </c>
      <c r="N1038" s="11">
        <f t="shared" si="42"/>
        <v>43.68</v>
      </c>
    </row>
    <row r="1039" spans="2:21" x14ac:dyDescent="0.2">
      <c r="B1039" t="s">
        <v>970</v>
      </c>
      <c r="C1039" t="s">
        <v>534</v>
      </c>
      <c r="D1039" t="s">
        <v>130</v>
      </c>
      <c r="G1039">
        <v>1</v>
      </c>
      <c r="H1039">
        <v>1</v>
      </c>
      <c r="I1039">
        <v>0</v>
      </c>
      <c r="K1039" s="9">
        <v>75</v>
      </c>
      <c r="L1039" s="1">
        <v>0</v>
      </c>
      <c r="M1039" s="1">
        <f t="shared" si="41"/>
        <v>75</v>
      </c>
      <c r="N1039" s="11">
        <f t="shared" si="42"/>
        <v>75</v>
      </c>
    </row>
    <row r="1040" spans="2:21" x14ac:dyDescent="0.2">
      <c r="B1040" t="s">
        <v>970</v>
      </c>
      <c r="C1040" t="s">
        <v>984</v>
      </c>
      <c r="D1040" t="s">
        <v>132</v>
      </c>
      <c r="G1040">
        <v>1</v>
      </c>
      <c r="H1040">
        <v>1</v>
      </c>
      <c r="I1040">
        <v>0</v>
      </c>
      <c r="K1040" s="9">
        <v>75</v>
      </c>
      <c r="L1040" s="1">
        <v>0</v>
      </c>
      <c r="M1040" s="1">
        <f t="shared" si="41"/>
        <v>75</v>
      </c>
      <c r="N1040" s="11">
        <f t="shared" si="42"/>
        <v>75</v>
      </c>
    </row>
    <row r="1041" spans="2:21" x14ac:dyDescent="0.2">
      <c r="B1041" t="s">
        <v>970</v>
      </c>
      <c r="C1041" t="s">
        <v>985</v>
      </c>
      <c r="D1041" t="s">
        <v>130</v>
      </c>
      <c r="G1041">
        <v>1</v>
      </c>
      <c r="H1041">
        <v>1</v>
      </c>
      <c r="I1041">
        <v>0</v>
      </c>
      <c r="K1041" s="9">
        <v>75</v>
      </c>
      <c r="L1041" s="1">
        <v>0</v>
      </c>
      <c r="M1041" s="1">
        <f t="shared" si="41"/>
        <v>75</v>
      </c>
      <c r="N1041" s="11">
        <f t="shared" si="42"/>
        <v>75</v>
      </c>
    </row>
    <row r="1042" spans="2:21" x14ac:dyDescent="0.2">
      <c r="B1042" t="s">
        <v>970</v>
      </c>
      <c r="C1042" t="s">
        <v>985</v>
      </c>
      <c r="D1042" t="s">
        <v>385</v>
      </c>
      <c r="G1042">
        <v>1</v>
      </c>
      <c r="H1042">
        <v>1</v>
      </c>
      <c r="I1042">
        <v>0</v>
      </c>
      <c r="K1042" s="9">
        <v>75</v>
      </c>
      <c r="L1042" s="1">
        <v>0</v>
      </c>
      <c r="M1042" s="1">
        <f t="shared" si="41"/>
        <v>75</v>
      </c>
      <c r="N1042" s="11">
        <f t="shared" si="42"/>
        <v>75</v>
      </c>
    </row>
    <row r="1043" spans="2:21" x14ac:dyDescent="0.2">
      <c r="B1043" t="s">
        <v>970</v>
      </c>
      <c r="C1043" t="s">
        <v>985</v>
      </c>
      <c r="D1043" t="s">
        <v>158</v>
      </c>
      <c r="G1043">
        <v>1</v>
      </c>
      <c r="H1043">
        <v>1</v>
      </c>
      <c r="I1043">
        <v>0</v>
      </c>
      <c r="K1043" s="9">
        <v>75</v>
      </c>
      <c r="L1043" s="1">
        <v>0</v>
      </c>
      <c r="M1043" s="1">
        <f t="shared" si="41"/>
        <v>75</v>
      </c>
      <c r="N1043" s="11">
        <f t="shared" si="42"/>
        <v>75</v>
      </c>
    </row>
    <row r="1044" spans="2:21" x14ac:dyDescent="0.2">
      <c r="B1044" t="s">
        <v>970</v>
      </c>
      <c r="C1044" t="s">
        <v>986</v>
      </c>
      <c r="D1044" t="s">
        <v>130</v>
      </c>
      <c r="E1044" s="11"/>
      <c r="F1044" s="9"/>
      <c r="G1044" s="10">
        <v>1</v>
      </c>
      <c r="H1044">
        <v>1</v>
      </c>
      <c r="I1044">
        <v>0</v>
      </c>
      <c r="J1044" s="9"/>
      <c r="K1044" s="9">
        <v>40</v>
      </c>
      <c r="L1044" s="1">
        <v>0</v>
      </c>
      <c r="M1044" s="1">
        <f t="shared" si="41"/>
        <v>40</v>
      </c>
      <c r="N1044" s="11">
        <f t="shared" si="42"/>
        <v>40</v>
      </c>
      <c r="O1044" s="9"/>
      <c r="P1044" s="9"/>
      <c r="Q1044" s="9"/>
      <c r="R1044" s="9"/>
      <c r="S1044" s="9"/>
      <c r="T1044" s="9"/>
      <c r="U1044" s="9"/>
    </row>
    <row r="1045" spans="2:21" x14ac:dyDescent="0.2">
      <c r="B1045" t="s">
        <v>970</v>
      </c>
      <c r="C1045" t="s">
        <v>986</v>
      </c>
      <c r="D1045" t="s">
        <v>156</v>
      </c>
      <c r="E1045" s="11"/>
      <c r="F1045" s="9"/>
      <c r="G1045" s="10">
        <v>1</v>
      </c>
      <c r="H1045">
        <v>1</v>
      </c>
      <c r="I1045">
        <v>0</v>
      </c>
      <c r="J1045" s="9"/>
      <c r="K1045" s="9">
        <v>40</v>
      </c>
      <c r="L1045" s="1">
        <v>0</v>
      </c>
      <c r="M1045" s="1">
        <f t="shared" si="41"/>
        <v>40</v>
      </c>
      <c r="N1045" s="11">
        <f t="shared" si="42"/>
        <v>40</v>
      </c>
      <c r="O1045" s="9"/>
      <c r="P1045" s="9"/>
      <c r="Q1045" s="9"/>
      <c r="R1045" s="9"/>
      <c r="S1045" s="9"/>
      <c r="T1045" s="9"/>
      <c r="U1045" s="9"/>
    </row>
    <row r="1046" spans="2:21" x14ac:dyDescent="0.2">
      <c r="B1046" t="s">
        <v>970</v>
      </c>
      <c r="C1046" t="s">
        <v>987</v>
      </c>
      <c r="D1046" t="s">
        <v>385</v>
      </c>
      <c r="E1046" s="11"/>
      <c r="F1046" s="9"/>
      <c r="G1046" s="10">
        <v>1</v>
      </c>
      <c r="H1046">
        <v>1</v>
      </c>
      <c r="I1046">
        <v>0</v>
      </c>
      <c r="J1046" s="9"/>
      <c r="K1046" s="9">
        <v>30</v>
      </c>
      <c r="L1046" s="1">
        <v>0</v>
      </c>
      <c r="M1046" s="1">
        <f t="shared" si="41"/>
        <v>30</v>
      </c>
      <c r="N1046" s="11">
        <f t="shared" si="42"/>
        <v>30</v>
      </c>
      <c r="O1046" s="9"/>
      <c r="P1046" s="9"/>
      <c r="Q1046" s="9"/>
      <c r="R1046" s="9"/>
      <c r="S1046" s="9"/>
      <c r="T1046" s="9"/>
      <c r="U1046" s="9"/>
    </row>
    <row r="1047" spans="2:21" x14ac:dyDescent="0.2">
      <c r="B1047" t="s">
        <v>970</v>
      </c>
      <c r="C1047" t="s">
        <v>987</v>
      </c>
      <c r="D1047" t="s">
        <v>156</v>
      </c>
      <c r="E1047" s="11"/>
      <c r="F1047" s="9"/>
      <c r="G1047" s="10">
        <v>1</v>
      </c>
      <c r="H1047">
        <v>1</v>
      </c>
      <c r="I1047">
        <v>0</v>
      </c>
      <c r="J1047" s="9"/>
      <c r="K1047" s="9">
        <v>30</v>
      </c>
      <c r="L1047" s="1">
        <v>0</v>
      </c>
      <c r="M1047" s="1">
        <f t="shared" si="41"/>
        <v>30</v>
      </c>
      <c r="N1047" s="11">
        <f t="shared" si="42"/>
        <v>30</v>
      </c>
      <c r="O1047" s="9"/>
      <c r="P1047" s="9"/>
      <c r="Q1047" s="9"/>
      <c r="R1047" s="9"/>
      <c r="S1047" s="9"/>
      <c r="T1047" s="9"/>
      <c r="U1047" s="9"/>
    </row>
    <row r="1048" spans="2:21" x14ac:dyDescent="0.2">
      <c r="B1048" t="s">
        <v>970</v>
      </c>
      <c r="C1048" t="s">
        <v>987</v>
      </c>
      <c r="D1048" t="s">
        <v>158</v>
      </c>
      <c r="E1048" s="11"/>
      <c r="F1048" s="9"/>
      <c r="G1048" s="10">
        <v>1</v>
      </c>
      <c r="H1048">
        <v>1</v>
      </c>
      <c r="I1048">
        <v>0</v>
      </c>
      <c r="J1048" s="9"/>
      <c r="K1048" s="9">
        <v>30</v>
      </c>
      <c r="L1048" s="1">
        <v>0</v>
      </c>
      <c r="M1048" s="1">
        <f t="shared" si="41"/>
        <v>30</v>
      </c>
      <c r="N1048" s="11">
        <f t="shared" si="42"/>
        <v>30</v>
      </c>
      <c r="O1048" s="9"/>
      <c r="P1048" s="9"/>
      <c r="Q1048" s="9"/>
      <c r="R1048" s="9"/>
      <c r="S1048" s="9"/>
      <c r="T1048" s="9"/>
      <c r="U1048" s="9"/>
    </row>
    <row r="1049" spans="2:21" x14ac:dyDescent="0.2">
      <c r="B1049" t="s">
        <v>970</v>
      </c>
      <c r="C1049" t="s">
        <v>988</v>
      </c>
      <c r="D1049" t="s">
        <v>158</v>
      </c>
      <c r="E1049" s="11"/>
      <c r="F1049" s="9"/>
      <c r="G1049" s="10">
        <v>1</v>
      </c>
      <c r="H1049">
        <v>1</v>
      </c>
      <c r="I1049">
        <v>0</v>
      </c>
      <c r="J1049" s="9"/>
      <c r="K1049" s="9">
        <v>160</v>
      </c>
      <c r="L1049" s="1">
        <v>0</v>
      </c>
      <c r="M1049" s="1">
        <f t="shared" si="41"/>
        <v>160</v>
      </c>
      <c r="N1049" s="11">
        <f t="shared" si="42"/>
        <v>160</v>
      </c>
      <c r="O1049" s="9"/>
      <c r="P1049" s="9"/>
      <c r="Q1049" s="9"/>
      <c r="R1049" s="9"/>
      <c r="S1049" s="9"/>
      <c r="T1049" s="9"/>
      <c r="U1049" s="9"/>
    </row>
    <row r="1050" spans="2:21" x14ac:dyDescent="0.2">
      <c r="B1050" t="s">
        <v>970</v>
      </c>
      <c r="C1050" t="s">
        <v>988</v>
      </c>
      <c r="D1050" t="s">
        <v>156</v>
      </c>
      <c r="E1050" s="11"/>
      <c r="F1050" s="9"/>
      <c r="G1050" s="10">
        <v>1</v>
      </c>
      <c r="H1050">
        <v>1</v>
      </c>
      <c r="I1050">
        <v>0</v>
      </c>
      <c r="J1050" s="9"/>
      <c r="K1050" s="9">
        <v>160</v>
      </c>
      <c r="L1050" s="1">
        <v>0</v>
      </c>
      <c r="M1050" s="1">
        <f t="shared" si="41"/>
        <v>160</v>
      </c>
      <c r="N1050" s="11">
        <f t="shared" si="42"/>
        <v>160</v>
      </c>
      <c r="O1050" s="9"/>
      <c r="P1050" s="9"/>
      <c r="Q1050" s="9"/>
      <c r="R1050" s="9"/>
      <c r="S1050" s="9"/>
      <c r="T1050" s="9"/>
      <c r="U1050" s="9"/>
    </row>
    <row r="1051" spans="2:21" ht="14" customHeight="1" x14ac:dyDescent="0.2">
      <c r="B1051" t="s">
        <v>282</v>
      </c>
      <c r="C1051" t="s">
        <v>989</v>
      </c>
      <c r="D1051" t="s">
        <v>97</v>
      </c>
      <c r="E1051" s="11"/>
      <c r="F1051" s="9"/>
      <c r="G1051" s="10">
        <v>1</v>
      </c>
      <c r="H1051">
        <v>1</v>
      </c>
      <c r="I1051">
        <v>0</v>
      </c>
      <c r="J1051" s="9"/>
      <c r="K1051" s="9">
        <v>10</v>
      </c>
      <c r="L1051" s="1">
        <v>0</v>
      </c>
      <c r="M1051" s="1">
        <f t="shared" si="41"/>
        <v>10</v>
      </c>
      <c r="N1051" s="11">
        <f t="shared" si="42"/>
        <v>10</v>
      </c>
      <c r="O1051" s="9"/>
      <c r="P1051" s="9"/>
      <c r="Q1051" s="9"/>
      <c r="R1051" s="9"/>
      <c r="S1051" s="9"/>
      <c r="T1051" s="9"/>
      <c r="U1051" s="9"/>
    </row>
    <row r="1052" spans="2:21" ht="14" customHeight="1" x14ac:dyDescent="0.2">
      <c r="B1052" t="s">
        <v>282</v>
      </c>
      <c r="C1052" t="s">
        <v>990</v>
      </c>
      <c r="D1052" t="s">
        <v>97</v>
      </c>
      <c r="E1052" s="11"/>
      <c r="F1052" s="9"/>
      <c r="G1052" s="10">
        <v>1</v>
      </c>
      <c r="H1052">
        <v>1</v>
      </c>
      <c r="I1052">
        <v>0</v>
      </c>
      <c r="J1052" s="9"/>
      <c r="K1052" s="9">
        <v>10</v>
      </c>
      <c r="L1052" s="1">
        <v>0</v>
      </c>
      <c r="M1052" s="1">
        <f t="shared" si="41"/>
        <v>10</v>
      </c>
      <c r="N1052" s="11">
        <f t="shared" si="42"/>
        <v>10</v>
      </c>
      <c r="O1052" s="9"/>
      <c r="P1052" s="9"/>
      <c r="Q1052" s="9"/>
      <c r="R1052" s="9"/>
      <c r="S1052" s="9"/>
      <c r="T1052" s="9"/>
      <c r="U1052" s="9"/>
    </row>
    <row r="1053" spans="2:21" ht="14" customHeight="1" x14ac:dyDescent="0.2">
      <c r="B1053" t="s">
        <v>282</v>
      </c>
      <c r="C1053" t="s">
        <v>991</v>
      </c>
      <c r="D1053" t="s">
        <v>97</v>
      </c>
      <c r="E1053" s="11"/>
      <c r="F1053" s="9"/>
      <c r="G1053" s="10">
        <v>1</v>
      </c>
      <c r="H1053">
        <v>1</v>
      </c>
      <c r="I1053">
        <v>0</v>
      </c>
      <c r="J1053" s="9"/>
      <c r="K1053" s="9">
        <v>10</v>
      </c>
      <c r="L1053" s="1">
        <v>0</v>
      </c>
      <c r="M1053" s="1">
        <f t="shared" si="41"/>
        <v>10</v>
      </c>
      <c r="N1053" s="11">
        <f t="shared" si="42"/>
        <v>10</v>
      </c>
      <c r="O1053" s="9"/>
      <c r="P1053" s="9"/>
      <c r="Q1053" s="9"/>
      <c r="R1053" s="9"/>
      <c r="S1053" s="9"/>
      <c r="T1053" s="9"/>
      <c r="U1053" s="9"/>
    </row>
    <row r="1054" spans="2:21" ht="14" customHeight="1" x14ac:dyDescent="0.2">
      <c r="B1054" t="s">
        <v>285</v>
      </c>
      <c r="C1054" t="s">
        <v>992</v>
      </c>
      <c r="D1054" t="s">
        <v>91</v>
      </c>
      <c r="E1054" s="11"/>
      <c r="F1054" s="9"/>
      <c r="G1054" s="10">
        <v>1</v>
      </c>
      <c r="H1054">
        <v>1</v>
      </c>
      <c r="I1054">
        <v>0</v>
      </c>
      <c r="J1054" s="9"/>
      <c r="K1054" s="9">
        <v>10</v>
      </c>
      <c r="L1054" s="1">
        <v>0</v>
      </c>
      <c r="M1054" s="1">
        <f t="shared" si="41"/>
        <v>10</v>
      </c>
      <c r="N1054" s="11">
        <f t="shared" si="42"/>
        <v>10</v>
      </c>
      <c r="O1054" s="9"/>
      <c r="P1054" s="9"/>
      <c r="Q1054" s="9"/>
      <c r="R1054" s="9"/>
      <c r="S1054" s="9"/>
      <c r="T1054" s="9"/>
      <c r="U1054" s="9"/>
    </row>
    <row r="1055" spans="2:21" x14ac:dyDescent="0.2">
      <c r="B1055" t="s">
        <v>285</v>
      </c>
      <c r="C1055" t="s">
        <v>289</v>
      </c>
      <c r="D1055" t="s">
        <v>95</v>
      </c>
      <c r="E1055" s="11"/>
      <c r="F1055" s="9"/>
      <c r="G1055" s="10">
        <v>1</v>
      </c>
      <c r="H1055">
        <v>1</v>
      </c>
      <c r="I1055">
        <v>0</v>
      </c>
      <c r="J1055" s="9"/>
      <c r="K1055" s="9">
        <v>10</v>
      </c>
      <c r="L1055" s="1">
        <v>0</v>
      </c>
      <c r="M1055" s="1">
        <f t="shared" si="41"/>
        <v>10</v>
      </c>
      <c r="N1055" s="11">
        <f t="shared" si="42"/>
        <v>10</v>
      </c>
      <c r="O1055" s="9"/>
      <c r="P1055" s="9"/>
      <c r="Q1055" s="9"/>
      <c r="R1055" s="9"/>
      <c r="S1055" s="9"/>
      <c r="T1055" s="9"/>
      <c r="U1055" s="9"/>
    </row>
    <row r="1056" spans="2:21" x14ac:dyDescent="0.2">
      <c r="B1056" t="s">
        <v>285</v>
      </c>
      <c r="C1056" t="s">
        <v>993</v>
      </c>
      <c r="D1056" t="s">
        <v>91</v>
      </c>
      <c r="E1056" s="11"/>
      <c r="F1056" s="9"/>
      <c r="G1056" s="10">
        <v>1</v>
      </c>
      <c r="H1056">
        <v>1</v>
      </c>
      <c r="I1056">
        <v>0</v>
      </c>
      <c r="J1056" s="9"/>
      <c r="K1056" s="9">
        <v>10</v>
      </c>
      <c r="L1056" s="1">
        <v>0</v>
      </c>
      <c r="M1056" s="1">
        <f t="shared" si="41"/>
        <v>10</v>
      </c>
      <c r="N1056" s="11">
        <f t="shared" si="42"/>
        <v>10</v>
      </c>
      <c r="O1056" s="9"/>
      <c r="P1056" s="9"/>
      <c r="Q1056" s="9"/>
      <c r="R1056" s="9"/>
      <c r="S1056" s="9"/>
      <c r="T1056" s="9"/>
      <c r="U1056" s="9"/>
    </row>
    <row r="1057" spans="2:21" x14ac:dyDescent="0.2">
      <c r="B1057" t="s">
        <v>285</v>
      </c>
      <c r="C1057" t="s">
        <v>761</v>
      </c>
      <c r="D1057" t="s">
        <v>95</v>
      </c>
      <c r="E1057" s="11"/>
      <c r="F1057" s="9"/>
      <c r="G1057" s="10">
        <v>1</v>
      </c>
      <c r="H1057">
        <v>1</v>
      </c>
      <c r="I1057">
        <v>0</v>
      </c>
      <c r="J1057" s="9"/>
      <c r="K1057" s="9">
        <v>10</v>
      </c>
      <c r="L1057" s="1">
        <v>0</v>
      </c>
      <c r="M1057" s="1">
        <f t="shared" si="41"/>
        <v>10</v>
      </c>
      <c r="N1057" s="11">
        <f t="shared" si="42"/>
        <v>10</v>
      </c>
      <c r="O1057" s="9"/>
      <c r="P1057" s="9"/>
      <c r="Q1057" s="9"/>
      <c r="R1057" s="9"/>
      <c r="S1057" s="9"/>
      <c r="T1057" s="9"/>
      <c r="U1057" s="9"/>
    </row>
    <row r="1058" spans="2:21" ht="14" customHeight="1" x14ac:dyDescent="0.2">
      <c r="B1058" t="s">
        <v>285</v>
      </c>
      <c r="C1058" t="s">
        <v>994</v>
      </c>
      <c r="D1058" t="s">
        <v>91</v>
      </c>
      <c r="E1058" s="11"/>
      <c r="F1058" s="9"/>
      <c r="G1058" s="10">
        <v>1</v>
      </c>
      <c r="H1058">
        <v>1</v>
      </c>
      <c r="I1058">
        <v>0</v>
      </c>
      <c r="J1058" s="9"/>
      <c r="K1058" s="9">
        <v>10</v>
      </c>
      <c r="L1058" s="1">
        <v>0</v>
      </c>
      <c r="M1058" s="1">
        <f t="shared" si="41"/>
        <v>10</v>
      </c>
      <c r="N1058" s="11">
        <f t="shared" si="42"/>
        <v>10</v>
      </c>
      <c r="O1058" s="9"/>
      <c r="P1058" s="9"/>
      <c r="Q1058" s="9"/>
      <c r="R1058" s="9"/>
      <c r="S1058" s="9"/>
      <c r="T1058" s="9"/>
      <c r="U1058" s="9"/>
    </row>
    <row r="1059" spans="2:21" x14ac:dyDescent="0.2">
      <c r="B1059" t="s">
        <v>285</v>
      </c>
      <c r="C1059" t="s">
        <v>995</v>
      </c>
      <c r="D1059" t="s">
        <v>91</v>
      </c>
      <c r="E1059" s="11"/>
      <c r="F1059" s="9"/>
      <c r="G1059" s="10">
        <v>1</v>
      </c>
      <c r="H1059">
        <v>1</v>
      </c>
      <c r="I1059">
        <v>0</v>
      </c>
      <c r="J1059" s="9"/>
      <c r="K1059" s="9">
        <v>10</v>
      </c>
      <c r="L1059" s="1">
        <v>0</v>
      </c>
      <c r="M1059" s="1">
        <f t="shared" si="41"/>
        <v>10</v>
      </c>
      <c r="N1059" s="11">
        <f t="shared" si="42"/>
        <v>10</v>
      </c>
      <c r="O1059" s="9"/>
      <c r="P1059" s="9"/>
      <c r="Q1059" s="9"/>
      <c r="R1059" s="9"/>
      <c r="S1059" s="9"/>
      <c r="T1059" s="9"/>
      <c r="U1059" s="9"/>
    </row>
    <row r="1060" spans="2:21" ht="14" customHeight="1" x14ac:dyDescent="0.2">
      <c r="B1060" t="s">
        <v>285</v>
      </c>
      <c r="C1060" t="s">
        <v>996</v>
      </c>
      <c r="D1060" t="s">
        <v>997</v>
      </c>
      <c r="E1060" s="11"/>
      <c r="F1060" s="9"/>
      <c r="G1060" s="10">
        <v>1</v>
      </c>
      <c r="H1060">
        <v>1</v>
      </c>
      <c r="I1060">
        <v>0</v>
      </c>
      <c r="J1060" s="9"/>
      <c r="K1060" s="9">
        <v>10</v>
      </c>
      <c r="L1060" s="1">
        <v>0</v>
      </c>
      <c r="M1060" s="1">
        <f t="shared" si="41"/>
        <v>10</v>
      </c>
      <c r="N1060" s="11">
        <f t="shared" si="42"/>
        <v>10</v>
      </c>
      <c r="O1060" s="9"/>
      <c r="P1060" s="9"/>
      <c r="Q1060" s="9"/>
      <c r="R1060" s="9"/>
      <c r="S1060" s="9"/>
      <c r="T1060" s="9"/>
      <c r="U1060" s="9"/>
    </row>
    <row r="1061" spans="2:21" x14ac:dyDescent="0.2">
      <c r="B1061" t="s">
        <v>285</v>
      </c>
      <c r="C1061" t="s">
        <v>757</v>
      </c>
      <c r="D1061" t="s">
        <v>95</v>
      </c>
      <c r="E1061" s="11"/>
      <c r="F1061" s="9"/>
      <c r="G1061" s="10">
        <v>1</v>
      </c>
      <c r="H1061">
        <v>1</v>
      </c>
      <c r="I1061">
        <v>0</v>
      </c>
      <c r="J1061" s="9"/>
      <c r="K1061" s="9">
        <v>10</v>
      </c>
      <c r="L1061" s="1">
        <v>0</v>
      </c>
      <c r="M1061" s="1">
        <f t="shared" si="41"/>
        <v>10</v>
      </c>
      <c r="N1061" s="11">
        <f t="shared" si="42"/>
        <v>10</v>
      </c>
      <c r="O1061" s="9"/>
      <c r="P1061" s="9"/>
      <c r="Q1061" s="9"/>
      <c r="R1061" s="9"/>
      <c r="S1061" s="9"/>
      <c r="T1061" s="9"/>
      <c r="U1061" s="9"/>
    </row>
    <row r="1062" spans="2:21" ht="14" customHeight="1" x14ac:dyDescent="0.2">
      <c r="B1062" t="s">
        <v>282</v>
      </c>
      <c r="C1062" t="s">
        <v>439</v>
      </c>
      <c r="D1062" t="s">
        <v>97</v>
      </c>
      <c r="E1062" s="11"/>
      <c r="F1062" s="9"/>
      <c r="G1062" s="10">
        <v>3</v>
      </c>
      <c r="H1062" s="10">
        <v>3</v>
      </c>
      <c r="I1062">
        <v>0</v>
      </c>
      <c r="J1062" s="9"/>
      <c r="K1062" s="9">
        <v>10</v>
      </c>
      <c r="L1062" s="1">
        <v>0</v>
      </c>
      <c r="M1062" s="1">
        <f t="shared" si="41"/>
        <v>10</v>
      </c>
      <c r="N1062" s="11">
        <f t="shared" si="42"/>
        <v>30</v>
      </c>
      <c r="O1062" s="9"/>
      <c r="P1062" s="9"/>
      <c r="Q1062" s="9"/>
      <c r="R1062" s="9"/>
      <c r="S1062" s="9"/>
      <c r="T1062" s="9"/>
      <c r="U1062" s="9"/>
    </row>
    <row r="1063" spans="2:21" ht="14" customHeight="1" x14ac:dyDescent="0.2">
      <c r="B1063" t="s">
        <v>277</v>
      </c>
      <c r="C1063" t="s">
        <v>439</v>
      </c>
      <c r="D1063" t="s">
        <v>34</v>
      </c>
      <c r="E1063" s="11"/>
      <c r="F1063" s="9"/>
      <c r="G1063" s="10">
        <v>1</v>
      </c>
      <c r="H1063" s="10">
        <v>1</v>
      </c>
      <c r="I1063">
        <v>0</v>
      </c>
      <c r="J1063" s="9"/>
      <c r="K1063" s="9">
        <v>10</v>
      </c>
      <c r="L1063" s="1">
        <v>0</v>
      </c>
      <c r="M1063" s="1">
        <f t="shared" si="41"/>
        <v>10</v>
      </c>
      <c r="N1063" s="11">
        <f t="shared" si="42"/>
        <v>10</v>
      </c>
      <c r="O1063" s="9"/>
      <c r="P1063" s="9"/>
      <c r="Q1063" s="9"/>
      <c r="R1063" s="9"/>
      <c r="S1063" s="9"/>
      <c r="T1063" s="9"/>
      <c r="U1063" s="9"/>
    </row>
    <row r="1064" spans="2:21" ht="14" customHeight="1" x14ac:dyDescent="0.2">
      <c r="B1064" t="s">
        <v>285</v>
      </c>
      <c r="C1064" t="s">
        <v>439</v>
      </c>
      <c r="D1064" t="s">
        <v>91</v>
      </c>
      <c r="E1064" s="11"/>
      <c r="F1064" s="9"/>
      <c r="G1064" s="10">
        <v>1</v>
      </c>
      <c r="H1064" s="10">
        <v>1</v>
      </c>
      <c r="I1064">
        <v>0</v>
      </c>
      <c r="J1064" s="9"/>
      <c r="K1064" s="9">
        <v>10</v>
      </c>
      <c r="L1064" s="1">
        <v>0</v>
      </c>
      <c r="M1064" s="1">
        <f t="shared" si="41"/>
        <v>10</v>
      </c>
      <c r="N1064" s="11">
        <f t="shared" si="42"/>
        <v>10</v>
      </c>
      <c r="O1064" s="9"/>
      <c r="P1064" s="9"/>
      <c r="Q1064" s="9"/>
      <c r="R1064" s="9"/>
      <c r="S1064" s="9"/>
      <c r="T1064" s="9"/>
      <c r="U1064" s="9"/>
    </row>
    <row r="1065" spans="2:21" x14ac:dyDescent="0.2">
      <c r="B1065" t="s">
        <v>285</v>
      </c>
      <c r="C1065" t="s">
        <v>328</v>
      </c>
      <c r="D1065" t="s">
        <v>91</v>
      </c>
      <c r="E1065" s="11"/>
      <c r="F1065" s="9"/>
      <c r="G1065" s="10">
        <v>2</v>
      </c>
      <c r="H1065" s="10">
        <v>2</v>
      </c>
      <c r="I1065">
        <v>0</v>
      </c>
      <c r="J1065" s="9"/>
      <c r="K1065" s="9">
        <v>10</v>
      </c>
      <c r="L1065" s="1">
        <v>0</v>
      </c>
      <c r="M1065" s="1">
        <f t="shared" si="41"/>
        <v>10</v>
      </c>
      <c r="N1065" s="11">
        <f t="shared" si="42"/>
        <v>20</v>
      </c>
      <c r="O1065" s="9"/>
      <c r="P1065" s="9"/>
      <c r="Q1065" s="9"/>
      <c r="R1065" s="9"/>
      <c r="S1065" s="9"/>
      <c r="T1065" s="9"/>
      <c r="U1065" s="9"/>
    </row>
    <row r="1066" spans="2:21" x14ac:dyDescent="0.2">
      <c r="B1066" t="s">
        <v>285</v>
      </c>
      <c r="C1066" t="s">
        <v>998</v>
      </c>
      <c r="D1066" t="s">
        <v>95</v>
      </c>
      <c r="E1066" s="11"/>
      <c r="F1066" s="9"/>
      <c r="G1066" s="10">
        <v>1</v>
      </c>
      <c r="H1066" s="10">
        <v>1</v>
      </c>
      <c r="I1066">
        <v>0</v>
      </c>
      <c r="J1066" s="9"/>
      <c r="K1066" s="9">
        <v>10</v>
      </c>
      <c r="L1066" s="1">
        <v>0</v>
      </c>
      <c r="M1066" s="1">
        <f t="shared" si="41"/>
        <v>10</v>
      </c>
      <c r="N1066" s="11">
        <f t="shared" si="42"/>
        <v>10</v>
      </c>
      <c r="O1066" s="9"/>
      <c r="P1066" s="9"/>
      <c r="Q1066" s="9"/>
      <c r="R1066" s="9"/>
      <c r="S1066" s="9"/>
      <c r="T1066" s="9"/>
      <c r="U1066" s="9"/>
    </row>
    <row r="1067" spans="2:21" x14ac:dyDescent="0.2">
      <c r="B1067" t="s">
        <v>285</v>
      </c>
      <c r="C1067" t="s">
        <v>999</v>
      </c>
      <c r="D1067" t="s">
        <v>91</v>
      </c>
      <c r="E1067" s="11"/>
      <c r="F1067" s="9"/>
      <c r="G1067" s="10">
        <v>1</v>
      </c>
      <c r="H1067" s="10">
        <v>1</v>
      </c>
      <c r="I1067">
        <v>0</v>
      </c>
      <c r="J1067" s="9"/>
      <c r="K1067" s="9">
        <v>10</v>
      </c>
      <c r="L1067" s="1">
        <v>0</v>
      </c>
      <c r="M1067" s="1">
        <f t="shared" si="41"/>
        <v>10</v>
      </c>
      <c r="N1067" s="11">
        <f t="shared" si="42"/>
        <v>10</v>
      </c>
      <c r="O1067" s="9"/>
      <c r="P1067" s="9"/>
      <c r="Q1067" s="9"/>
      <c r="R1067" s="9"/>
      <c r="S1067" s="9"/>
      <c r="T1067" s="9"/>
      <c r="U1067" s="9"/>
    </row>
    <row r="1068" spans="2:21" x14ac:dyDescent="0.2">
      <c r="B1068" t="s">
        <v>285</v>
      </c>
      <c r="C1068" t="s">
        <v>996</v>
      </c>
      <c r="D1068" t="s">
        <v>91</v>
      </c>
      <c r="E1068" s="11"/>
      <c r="F1068" s="9"/>
      <c r="G1068" s="10">
        <v>1</v>
      </c>
      <c r="H1068" s="10">
        <v>1</v>
      </c>
      <c r="I1068">
        <v>0</v>
      </c>
      <c r="J1068" s="9"/>
      <c r="K1068" s="9">
        <v>10</v>
      </c>
      <c r="L1068" s="1">
        <v>0</v>
      </c>
      <c r="M1068" s="1">
        <f t="shared" si="41"/>
        <v>10</v>
      </c>
      <c r="N1068" s="11">
        <f t="shared" si="42"/>
        <v>10</v>
      </c>
      <c r="O1068" s="9"/>
      <c r="P1068" s="9"/>
      <c r="Q1068" s="9"/>
      <c r="R1068" s="9"/>
      <c r="S1068" s="9"/>
      <c r="T1068" s="9"/>
      <c r="U1068" s="9"/>
    </row>
    <row r="1069" spans="2:21" x14ac:dyDescent="0.2">
      <c r="B1069" t="s">
        <v>285</v>
      </c>
      <c r="C1069" t="s">
        <v>329</v>
      </c>
      <c r="D1069" t="s">
        <v>91</v>
      </c>
      <c r="E1069" s="11"/>
      <c r="F1069" s="9"/>
      <c r="G1069" s="10">
        <v>1</v>
      </c>
      <c r="H1069" s="10">
        <v>1</v>
      </c>
      <c r="I1069">
        <v>0</v>
      </c>
      <c r="J1069" s="9"/>
      <c r="K1069" s="9">
        <v>10</v>
      </c>
      <c r="L1069" s="1">
        <v>0</v>
      </c>
      <c r="M1069" s="1">
        <f t="shared" si="41"/>
        <v>10</v>
      </c>
      <c r="N1069" s="11">
        <f t="shared" si="42"/>
        <v>10</v>
      </c>
      <c r="O1069" s="9"/>
      <c r="P1069" s="9"/>
      <c r="Q1069" s="9"/>
      <c r="R1069" s="9"/>
      <c r="S1069" s="9"/>
      <c r="T1069" s="9"/>
      <c r="U1069" s="9"/>
    </row>
    <row r="1070" spans="2:21" x14ac:dyDescent="0.2">
      <c r="B1070" t="s">
        <v>285</v>
      </c>
      <c r="C1070" t="s">
        <v>1000</v>
      </c>
      <c r="D1070" t="s">
        <v>91</v>
      </c>
      <c r="E1070" s="11"/>
      <c r="F1070" s="9"/>
      <c r="G1070" s="10">
        <v>1</v>
      </c>
      <c r="H1070" s="10">
        <v>1</v>
      </c>
      <c r="I1070">
        <v>0</v>
      </c>
      <c r="J1070" s="9"/>
      <c r="K1070" s="9">
        <v>10</v>
      </c>
      <c r="L1070" s="1">
        <v>0</v>
      </c>
      <c r="M1070" s="1">
        <f t="shared" si="41"/>
        <v>10</v>
      </c>
      <c r="N1070" s="11">
        <f t="shared" si="42"/>
        <v>10</v>
      </c>
      <c r="O1070" s="9"/>
      <c r="P1070" s="9"/>
      <c r="Q1070" s="9"/>
      <c r="R1070" s="9"/>
      <c r="S1070" s="9"/>
      <c r="T1070" s="9"/>
      <c r="U1070" s="9"/>
    </row>
    <row r="1071" spans="2:21" x14ac:dyDescent="0.2">
      <c r="B1071" t="s">
        <v>1001</v>
      </c>
      <c r="C1071" t="s">
        <v>1002</v>
      </c>
      <c r="D1071" t="s">
        <v>97</v>
      </c>
      <c r="E1071" s="11"/>
      <c r="F1071" s="9"/>
      <c r="G1071" s="10">
        <v>1</v>
      </c>
      <c r="H1071" s="10">
        <v>1</v>
      </c>
      <c r="I1071">
        <v>0</v>
      </c>
      <c r="J1071" s="9"/>
      <c r="K1071" s="9">
        <v>10</v>
      </c>
      <c r="L1071" s="1">
        <v>0</v>
      </c>
      <c r="M1071" s="1">
        <f t="shared" si="41"/>
        <v>10</v>
      </c>
      <c r="N1071" s="11">
        <f t="shared" si="42"/>
        <v>10</v>
      </c>
      <c r="O1071" s="9"/>
      <c r="P1071" s="9"/>
      <c r="Q1071" s="9"/>
      <c r="R1071" s="9"/>
      <c r="S1071" s="9"/>
      <c r="T1071" s="9"/>
      <c r="U1071" s="9"/>
    </row>
    <row r="1072" spans="2:21" x14ac:dyDescent="0.2">
      <c r="B1072" t="s">
        <v>1001</v>
      </c>
      <c r="C1072" t="s">
        <v>701</v>
      </c>
      <c r="D1072" t="s">
        <v>97</v>
      </c>
      <c r="E1072" s="11"/>
      <c r="F1072" s="9"/>
      <c r="G1072" s="10">
        <v>1</v>
      </c>
      <c r="H1072" s="10">
        <v>1</v>
      </c>
      <c r="I1072">
        <v>0</v>
      </c>
      <c r="J1072" s="9"/>
      <c r="K1072" s="9">
        <v>20</v>
      </c>
      <c r="L1072" s="1">
        <v>0</v>
      </c>
      <c r="M1072" s="1">
        <f t="shared" si="41"/>
        <v>20</v>
      </c>
      <c r="N1072" s="11">
        <f t="shared" si="42"/>
        <v>20</v>
      </c>
      <c r="O1072" s="9"/>
      <c r="P1072" s="9"/>
      <c r="Q1072" s="9"/>
      <c r="R1072" s="9"/>
      <c r="S1072" s="9"/>
      <c r="T1072" s="9"/>
      <c r="U1072" s="9"/>
    </row>
    <row r="1073" spans="2:21" x14ac:dyDescent="0.2">
      <c r="B1073" t="s">
        <v>725</v>
      </c>
      <c r="C1073" t="s">
        <v>1003</v>
      </c>
      <c r="D1073" t="s">
        <v>261</v>
      </c>
      <c r="E1073" s="11"/>
      <c r="F1073" s="9"/>
      <c r="G1073" s="10">
        <v>1</v>
      </c>
      <c r="H1073" s="10">
        <v>1</v>
      </c>
      <c r="I1073">
        <v>0</v>
      </c>
      <c r="J1073" s="9"/>
      <c r="K1073" s="9">
        <v>10</v>
      </c>
      <c r="L1073" s="1">
        <v>0</v>
      </c>
      <c r="M1073" s="1">
        <f t="shared" si="41"/>
        <v>10</v>
      </c>
      <c r="N1073" s="11">
        <f t="shared" si="42"/>
        <v>10</v>
      </c>
      <c r="O1073" s="9"/>
      <c r="P1073" s="9"/>
      <c r="Q1073" s="9"/>
      <c r="R1073" s="9"/>
      <c r="S1073" s="9"/>
      <c r="T1073" s="9"/>
      <c r="U1073" s="9"/>
    </row>
    <row r="1074" spans="2:21" x14ac:dyDescent="0.2">
      <c r="B1074" t="s">
        <v>32</v>
      </c>
      <c r="C1074" t="s">
        <v>816</v>
      </c>
      <c r="D1074" t="s">
        <v>71</v>
      </c>
      <c r="E1074" s="11"/>
      <c r="F1074" s="9"/>
      <c r="G1074" s="10">
        <v>1</v>
      </c>
      <c r="H1074" s="10">
        <v>1</v>
      </c>
      <c r="I1074">
        <v>0</v>
      </c>
      <c r="J1074" s="9"/>
      <c r="K1074" s="9">
        <v>10</v>
      </c>
      <c r="L1074" s="1">
        <v>0</v>
      </c>
      <c r="M1074" s="1">
        <f t="shared" si="41"/>
        <v>10</v>
      </c>
      <c r="N1074" s="11">
        <f t="shared" si="42"/>
        <v>10</v>
      </c>
      <c r="O1074" s="9"/>
      <c r="P1074" s="9"/>
      <c r="Q1074" s="9"/>
      <c r="R1074" s="9"/>
      <c r="S1074" s="9"/>
      <c r="T1074" s="9"/>
      <c r="U1074" s="9"/>
    </row>
    <row r="1075" spans="2:21" x14ac:dyDescent="0.2">
      <c r="B1075" t="s">
        <v>836</v>
      </c>
      <c r="C1075" t="s">
        <v>1004</v>
      </c>
      <c r="D1075" t="s">
        <v>1005</v>
      </c>
      <c r="E1075" s="11"/>
      <c r="F1075" s="9"/>
      <c r="G1075" s="10">
        <v>1</v>
      </c>
      <c r="H1075" s="10">
        <v>1</v>
      </c>
      <c r="I1075">
        <v>0</v>
      </c>
      <c r="J1075" s="9"/>
      <c r="K1075" s="9">
        <v>10</v>
      </c>
      <c r="L1075" s="1">
        <v>0</v>
      </c>
      <c r="M1075" s="1">
        <f t="shared" si="41"/>
        <v>10</v>
      </c>
      <c r="N1075" s="11">
        <f t="shared" si="42"/>
        <v>10</v>
      </c>
      <c r="O1075" s="9"/>
      <c r="P1075" s="9"/>
      <c r="Q1075" s="9"/>
      <c r="R1075" s="9"/>
      <c r="S1075" s="9"/>
      <c r="T1075" s="9"/>
      <c r="U1075" s="9"/>
    </row>
    <row r="1076" spans="2:21" x14ac:dyDescent="0.2">
      <c r="B1076" t="s">
        <v>215</v>
      </c>
      <c r="C1076" t="s">
        <v>1006</v>
      </c>
      <c r="D1076" t="s">
        <v>261</v>
      </c>
      <c r="E1076" s="11"/>
      <c r="F1076" s="9"/>
      <c r="G1076" s="10">
        <v>1</v>
      </c>
      <c r="H1076" s="10">
        <v>1</v>
      </c>
      <c r="I1076">
        <v>0</v>
      </c>
      <c r="J1076" s="9"/>
      <c r="K1076" s="9">
        <v>10</v>
      </c>
      <c r="L1076" s="1">
        <v>0</v>
      </c>
      <c r="M1076" s="1">
        <f t="shared" si="41"/>
        <v>10</v>
      </c>
      <c r="N1076" s="11">
        <f t="shared" si="42"/>
        <v>10</v>
      </c>
      <c r="O1076" s="9"/>
      <c r="P1076" s="9"/>
      <c r="Q1076" s="9"/>
      <c r="R1076" s="9"/>
      <c r="S1076" s="9"/>
      <c r="T1076" s="9"/>
      <c r="U1076" s="9"/>
    </row>
    <row r="1077" spans="2:21" x14ac:dyDescent="0.2">
      <c r="B1077" t="s">
        <v>215</v>
      </c>
      <c r="C1077" t="s">
        <v>1007</v>
      </c>
      <c r="D1077" t="s">
        <v>261</v>
      </c>
      <c r="E1077" s="11"/>
      <c r="F1077" s="9"/>
      <c r="G1077" s="10">
        <v>2</v>
      </c>
      <c r="H1077" s="10">
        <v>2</v>
      </c>
      <c r="I1077">
        <v>0</v>
      </c>
      <c r="J1077" s="9"/>
      <c r="K1077" s="9">
        <v>10</v>
      </c>
      <c r="L1077" s="1">
        <v>0</v>
      </c>
      <c r="M1077" s="1">
        <f t="shared" si="41"/>
        <v>10</v>
      </c>
      <c r="N1077" s="11">
        <f t="shared" si="42"/>
        <v>20</v>
      </c>
      <c r="O1077" s="9"/>
      <c r="P1077" s="9"/>
      <c r="Q1077" s="9"/>
      <c r="R1077" s="9"/>
      <c r="S1077" s="9"/>
      <c r="T1077" s="9"/>
      <c r="U1077" s="9"/>
    </row>
    <row r="1078" spans="2:21" x14ac:dyDescent="0.2">
      <c r="B1078" t="s">
        <v>1008</v>
      </c>
      <c r="C1078" t="s">
        <v>1009</v>
      </c>
      <c r="D1078" t="s">
        <v>97</v>
      </c>
      <c r="E1078" s="11"/>
      <c r="F1078" s="9"/>
      <c r="G1078" s="10">
        <v>1</v>
      </c>
      <c r="H1078" s="10">
        <v>1</v>
      </c>
      <c r="I1078">
        <v>0</v>
      </c>
      <c r="J1078" s="9"/>
      <c r="K1078" s="9">
        <v>10</v>
      </c>
      <c r="L1078" s="1">
        <v>0</v>
      </c>
      <c r="M1078" s="1">
        <f t="shared" si="41"/>
        <v>10</v>
      </c>
      <c r="N1078" s="11">
        <f t="shared" si="42"/>
        <v>10</v>
      </c>
      <c r="O1078" s="9"/>
      <c r="P1078" s="9"/>
      <c r="Q1078" s="9"/>
      <c r="R1078" s="9"/>
      <c r="S1078" s="9"/>
      <c r="T1078" s="9"/>
      <c r="U1078" s="9"/>
    </row>
    <row r="1079" spans="2:21" x14ac:dyDescent="0.2">
      <c r="B1079" t="s">
        <v>1010</v>
      </c>
      <c r="C1079" t="s">
        <v>494</v>
      </c>
      <c r="D1079" t="s">
        <v>95</v>
      </c>
      <c r="E1079" s="11"/>
      <c r="F1079" s="9"/>
      <c r="G1079" s="10">
        <v>1</v>
      </c>
      <c r="H1079" s="10">
        <v>1</v>
      </c>
      <c r="I1079">
        <v>0</v>
      </c>
      <c r="J1079" s="9"/>
      <c r="K1079" s="9">
        <v>10</v>
      </c>
      <c r="L1079" s="1">
        <v>0</v>
      </c>
      <c r="M1079" s="1">
        <f t="shared" si="41"/>
        <v>10</v>
      </c>
      <c r="N1079" s="11">
        <f t="shared" si="42"/>
        <v>10</v>
      </c>
      <c r="O1079" s="9"/>
      <c r="P1079" s="9"/>
      <c r="Q1079" s="9"/>
      <c r="R1079" s="9"/>
      <c r="S1079" s="9"/>
      <c r="T1079" s="9"/>
      <c r="U1079" s="9"/>
    </row>
    <row r="1080" spans="2:21" x14ac:dyDescent="0.2">
      <c r="B1080" t="s">
        <v>1010</v>
      </c>
      <c r="C1080" t="s">
        <v>1011</v>
      </c>
      <c r="D1080" t="s">
        <v>91</v>
      </c>
      <c r="E1080" s="11"/>
      <c r="F1080" s="9"/>
      <c r="G1080" s="10">
        <v>1</v>
      </c>
      <c r="H1080" s="10">
        <v>1</v>
      </c>
      <c r="I1080">
        <v>0</v>
      </c>
      <c r="J1080" s="9"/>
      <c r="K1080" s="9">
        <v>10</v>
      </c>
      <c r="L1080" s="1">
        <v>0</v>
      </c>
      <c r="M1080" s="1">
        <f t="shared" si="41"/>
        <v>10</v>
      </c>
      <c r="N1080" s="11">
        <f t="shared" si="42"/>
        <v>10</v>
      </c>
      <c r="O1080" s="9"/>
      <c r="P1080" s="9"/>
      <c r="Q1080" s="9"/>
      <c r="R1080" s="9"/>
      <c r="S1080" s="9"/>
      <c r="T1080" s="9"/>
      <c r="U1080" s="9"/>
    </row>
    <row r="1081" spans="2:21" x14ac:dyDescent="0.2">
      <c r="B1081" t="s">
        <v>1010</v>
      </c>
      <c r="C1081" t="s">
        <v>1012</v>
      </c>
      <c r="D1081" t="s">
        <v>91</v>
      </c>
      <c r="E1081" s="11"/>
      <c r="F1081" s="9"/>
      <c r="G1081" s="10">
        <v>2</v>
      </c>
      <c r="H1081" s="10">
        <v>2</v>
      </c>
      <c r="I1081">
        <v>0</v>
      </c>
      <c r="J1081" s="9"/>
      <c r="K1081" s="9">
        <v>10</v>
      </c>
      <c r="L1081" s="1">
        <v>0</v>
      </c>
      <c r="M1081" s="1">
        <f t="shared" ref="M1081:M1144" si="43">K1081+L1081</f>
        <v>10</v>
      </c>
      <c r="N1081" s="11">
        <f t="shared" si="42"/>
        <v>20</v>
      </c>
      <c r="O1081" s="9"/>
      <c r="P1081" s="9"/>
      <c r="Q1081" s="9"/>
      <c r="R1081" s="9"/>
      <c r="S1081" s="9"/>
      <c r="T1081" s="9"/>
      <c r="U1081" s="9"/>
    </row>
    <row r="1082" spans="2:21" x14ac:dyDescent="0.2">
      <c r="B1082" t="s">
        <v>1013</v>
      </c>
      <c r="C1082" t="s">
        <v>1014</v>
      </c>
      <c r="D1082" t="s">
        <v>34</v>
      </c>
      <c r="E1082" s="11"/>
      <c r="F1082" s="9"/>
      <c r="G1082" s="10">
        <v>1</v>
      </c>
      <c r="H1082" s="10">
        <v>1</v>
      </c>
      <c r="I1082">
        <v>0</v>
      </c>
      <c r="J1082" s="9"/>
      <c r="K1082" s="9">
        <v>10</v>
      </c>
      <c r="L1082" s="1">
        <v>0</v>
      </c>
      <c r="M1082" s="1">
        <f t="shared" si="43"/>
        <v>10</v>
      </c>
      <c r="N1082" s="11">
        <f t="shared" si="42"/>
        <v>10</v>
      </c>
      <c r="O1082" s="9"/>
      <c r="P1082" s="9"/>
      <c r="Q1082" s="9"/>
      <c r="R1082" s="9"/>
      <c r="S1082" s="9"/>
      <c r="T1082" s="9"/>
      <c r="U1082" s="9"/>
    </row>
    <row r="1083" spans="2:21" x14ac:dyDescent="0.2">
      <c r="B1083" t="s">
        <v>1008</v>
      </c>
      <c r="C1083" t="s">
        <v>1015</v>
      </c>
      <c r="D1083" t="s">
        <v>97</v>
      </c>
      <c r="E1083" s="11"/>
      <c r="F1083" s="9"/>
      <c r="G1083" s="10">
        <v>2</v>
      </c>
      <c r="H1083" s="10">
        <v>2</v>
      </c>
      <c r="I1083">
        <v>0</v>
      </c>
      <c r="J1083" s="9"/>
      <c r="K1083" s="9">
        <v>10</v>
      </c>
      <c r="L1083" s="1">
        <v>0</v>
      </c>
      <c r="M1083" s="1">
        <f t="shared" si="43"/>
        <v>10</v>
      </c>
      <c r="N1083" s="11">
        <f t="shared" si="42"/>
        <v>20</v>
      </c>
      <c r="O1083" s="9"/>
      <c r="P1083" s="9"/>
      <c r="Q1083" s="9"/>
      <c r="R1083" s="9"/>
      <c r="S1083" s="9"/>
      <c r="T1083" s="9"/>
      <c r="U1083" s="9"/>
    </row>
    <row r="1084" spans="2:21" x14ac:dyDescent="0.2">
      <c r="B1084" t="s">
        <v>1008</v>
      </c>
      <c r="C1084" t="s">
        <v>1016</v>
      </c>
      <c r="D1084" t="s">
        <v>97</v>
      </c>
      <c r="E1084" s="11"/>
      <c r="F1084" s="9"/>
      <c r="G1084" s="10">
        <v>1</v>
      </c>
      <c r="H1084" s="10">
        <v>1</v>
      </c>
      <c r="I1084">
        <v>0</v>
      </c>
      <c r="J1084" s="9"/>
      <c r="K1084" s="9">
        <v>10</v>
      </c>
      <c r="L1084" s="1">
        <v>0</v>
      </c>
      <c r="M1084" s="1">
        <f t="shared" si="43"/>
        <v>10</v>
      </c>
      <c r="N1084" s="11">
        <f t="shared" si="42"/>
        <v>10</v>
      </c>
      <c r="O1084" s="9"/>
      <c r="P1084" s="9"/>
      <c r="Q1084" s="9"/>
      <c r="R1084" s="9"/>
      <c r="S1084" s="9"/>
      <c r="T1084" s="9"/>
      <c r="U1084" s="9"/>
    </row>
    <row r="1085" spans="2:21" x14ac:dyDescent="0.2">
      <c r="B1085" t="s">
        <v>1013</v>
      </c>
      <c r="C1085" t="s">
        <v>1016</v>
      </c>
      <c r="D1085" t="s">
        <v>34</v>
      </c>
      <c r="E1085" s="11"/>
      <c r="F1085" s="9"/>
      <c r="G1085" s="10">
        <v>1</v>
      </c>
      <c r="H1085" s="10">
        <v>1</v>
      </c>
      <c r="I1085">
        <v>0</v>
      </c>
      <c r="J1085" s="9"/>
      <c r="K1085" s="9">
        <v>10</v>
      </c>
      <c r="L1085" s="1">
        <v>0</v>
      </c>
      <c r="M1085" s="1">
        <f t="shared" si="43"/>
        <v>10</v>
      </c>
      <c r="N1085" s="11">
        <f t="shared" si="42"/>
        <v>10</v>
      </c>
      <c r="O1085" s="9"/>
      <c r="P1085" s="9"/>
      <c r="Q1085" s="9"/>
      <c r="R1085" s="9"/>
      <c r="S1085" s="9"/>
      <c r="T1085" s="9"/>
      <c r="U1085" s="9"/>
    </row>
    <row r="1086" spans="2:21" x14ac:dyDescent="0.2">
      <c r="B1086" t="s">
        <v>1013</v>
      </c>
      <c r="C1086" t="s">
        <v>1017</v>
      </c>
      <c r="D1086" t="s">
        <v>17</v>
      </c>
      <c r="E1086" s="11"/>
      <c r="F1086" s="9"/>
      <c r="G1086" s="10">
        <v>2</v>
      </c>
      <c r="H1086" s="10">
        <v>2</v>
      </c>
      <c r="I1086">
        <v>0</v>
      </c>
      <c r="J1086" s="9"/>
      <c r="K1086" s="9">
        <v>10</v>
      </c>
      <c r="L1086" s="1">
        <v>0</v>
      </c>
      <c r="M1086" s="1">
        <f t="shared" si="43"/>
        <v>10</v>
      </c>
      <c r="N1086" s="11">
        <f t="shared" si="42"/>
        <v>20</v>
      </c>
      <c r="O1086" s="9"/>
      <c r="P1086" s="9"/>
      <c r="Q1086" s="9"/>
      <c r="R1086" s="9"/>
      <c r="S1086" s="9"/>
      <c r="T1086" s="9"/>
      <c r="U1086" s="9"/>
    </row>
    <row r="1087" spans="2:21" x14ac:dyDescent="0.2">
      <c r="B1087" t="s">
        <v>1008</v>
      </c>
      <c r="C1087" t="s">
        <v>1018</v>
      </c>
      <c r="D1087" t="s">
        <v>97</v>
      </c>
      <c r="E1087" s="11"/>
      <c r="F1087" s="9"/>
      <c r="G1087" s="10">
        <v>1</v>
      </c>
      <c r="H1087" s="10">
        <v>1</v>
      </c>
      <c r="I1087">
        <v>0</v>
      </c>
      <c r="J1087" s="9"/>
      <c r="K1087" s="9">
        <v>10</v>
      </c>
      <c r="L1087" s="1">
        <v>0</v>
      </c>
      <c r="M1087" s="1">
        <f t="shared" si="43"/>
        <v>10</v>
      </c>
      <c r="N1087" s="11">
        <f t="shared" si="42"/>
        <v>10</v>
      </c>
      <c r="O1087" s="9"/>
      <c r="P1087" s="9"/>
      <c r="Q1087" s="9"/>
      <c r="R1087" s="9"/>
      <c r="S1087" s="9"/>
      <c r="T1087" s="9"/>
      <c r="U1087" s="9"/>
    </row>
    <row r="1088" spans="2:21" x14ac:dyDescent="0.2">
      <c r="B1088" t="s">
        <v>1013</v>
      </c>
      <c r="C1088" t="s">
        <v>1019</v>
      </c>
      <c r="D1088" t="s">
        <v>34</v>
      </c>
      <c r="E1088" s="11"/>
      <c r="F1088" s="9"/>
      <c r="G1088" s="10">
        <v>1</v>
      </c>
      <c r="H1088" s="10">
        <v>1</v>
      </c>
      <c r="I1088">
        <v>0</v>
      </c>
      <c r="J1088" s="9"/>
      <c r="K1088" s="9">
        <v>10</v>
      </c>
      <c r="L1088" s="1">
        <v>0</v>
      </c>
      <c r="M1088" s="1">
        <f t="shared" si="43"/>
        <v>10</v>
      </c>
      <c r="N1088" s="11">
        <f t="shared" si="42"/>
        <v>10</v>
      </c>
      <c r="O1088" s="9"/>
      <c r="P1088" s="9"/>
      <c r="Q1088" s="9"/>
      <c r="R1088" s="9"/>
      <c r="S1088" s="9"/>
      <c r="T1088" s="9"/>
      <c r="U1088" s="9"/>
    </row>
    <row r="1089" spans="2:21" x14ac:dyDescent="0.2">
      <c r="B1089" t="s">
        <v>1013</v>
      </c>
      <c r="C1089" t="s">
        <v>1020</v>
      </c>
      <c r="D1089" t="s">
        <v>34</v>
      </c>
      <c r="E1089" s="11"/>
      <c r="F1089" s="9"/>
      <c r="G1089" s="10">
        <v>1</v>
      </c>
      <c r="H1089" s="10">
        <v>1</v>
      </c>
      <c r="I1089">
        <v>0</v>
      </c>
      <c r="J1089" s="9"/>
      <c r="K1089" s="9">
        <v>10</v>
      </c>
      <c r="L1089" s="1">
        <v>0</v>
      </c>
      <c r="M1089" s="1">
        <f t="shared" si="43"/>
        <v>10</v>
      </c>
      <c r="N1089" s="11">
        <f t="shared" si="42"/>
        <v>10</v>
      </c>
      <c r="O1089" s="9"/>
      <c r="P1089" s="9"/>
      <c r="Q1089" s="9"/>
      <c r="R1089" s="9"/>
      <c r="S1089" s="9"/>
      <c r="T1089" s="9"/>
      <c r="U1089" s="9"/>
    </row>
    <row r="1090" spans="2:21" x14ac:dyDescent="0.2">
      <c r="B1090" t="s">
        <v>1008</v>
      </c>
      <c r="C1090" t="s">
        <v>1021</v>
      </c>
      <c r="D1090" t="s">
        <v>97</v>
      </c>
      <c r="E1090" s="11"/>
      <c r="F1090" s="9"/>
      <c r="G1090" s="10">
        <v>2</v>
      </c>
      <c r="H1090" s="10">
        <v>2</v>
      </c>
      <c r="I1090">
        <v>0</v>
      </c>
      <c r="J1090" s="9"/>
      <c r="K1090" s="9">
        <v>10</v>
      </c>
      <c r="L1090" s="1">
        <v>0</v>
      </c>
      <c r="M1090" s="1">
        <f t="shared" si="43"/>
        <v>10</v>
      </c>
      <c r="N1090" s="11">
        <f t="shared" si="42"/>
        <v>20</v>
      </c>
      <c r="O1090" s="9"/>
      <c r="P1090" s="9"/>
      <c r="Q1090" s="9"/>
      <c r="R1090" s="9"/>
      <c r="S1090" s="9"/>
      <c r="T1090" s="9"/>
      <c r="U1090" s="9"/>
    </row>
    <row r="1091" spans="2:21" x14ac:dyDescent="0.2">
      <c r="B1091" t="s">
        <v>1013</v>
      </c>
      <c r="C1091" t="s">
        <v>1022</v>
      </c>
      <c r="D1091" t="s">
        <v>17</v>
      </c>
      <c r="E1091" s="11"/>
      <c r="F1091" s="9"/>
      <c r="G1091" s="10">
        <v>1</v>
      </c>
      <c r="H1091" s="10">
        <v>1</v>
      </c>
      <c r="I1091">
        <v>0</v>
      </c>
      <c r="J1091" s="9"/>
      <c r="K1091" s="9">
        <v>10</v>
      </c>
      <c r="L1091" s="1">
        <v>0</v>
      </c>
      <c r="M1091" s="1">
        <f t="shared" si="43"/>
        <v>10</v>
      </c>
      <c r="N1091" s="11">
        <f t="shared" ref="N1091:N1154" si="44">G1091*K1091</f>
        <v>10</v>
      </c>
      <c r="O1091" s="9"/>
      <c r="P1091" s="9"/>
      <c r="Q1091" s="9"/>
      <c r="R1091" s="9"/>
      <c r="S1091" s="9"/>
      <c r="T1091" s="9"/>
      <c r="U1091" s="9"/>
    </row>
    <row r="1092" spans="2:21" x14ac:dyDescent="0.2">
      <c r="B1092" t="s">
        <v>1010</v>
      </c>
      <c r="C1092" t="s">
        <v>1023</v>
      </c>
      <c r="D1092" t="s">
        <v>95</v>
      </c>
      <c r="E1092" s="11"/>
      <c r="F1092" s="9"/>
      <c r="G1092" s="10">
        <v>1</v>
      </c>
      <c r="H1092" s="10">
        <v>1</v>
      </c>
      <c r="I1092">
        <v>0</v>
      </c>
      <c r="J1092" s="9"/>
      <c r="K1092" s="9">
        <v>10</v>
      </c>
      <c r="L1092" s="1">
        <v>0</v>
      </c>
      <c r="M1092" s="1">
        <f t="shared" si="43"/>
        <v>10</v>
      </c>
      <c r="N1092" s="11">
        <f t="shared" si="44"/>
        <v>10</v>
      </c>
      <c r="O1092" s="9"/>
      <c r="P1092" s="9"/>
      <c r="Q1092" s="9"/>
      <c r="R1092" s="9"/>
      <c r="S1092" s="9"/>
      <c r="T1092" s="9"/>
      <c r="U1092" s="9"/>
    </row>
    <row r="1093" spans="2:21" x14ac:dyDescent="0.2">
      <c r="B1093" t="s">
        <v>1001</v>
      </c>
      <c r="C1093" t="s">
        <v>1024</v>
      </c>
      <c r="D1093" t="s">
        <v>97</v>
      </c>
      <c r="E1093" s="11"/>
      <c r="F1093" s="9"/>
      <c r="G1093" s="10">
        <v>1</v>
      </c>
      <c r="H1093" s="10">
        <v>1</v>
      </c>
      <c r="I1093">
        <v>0</v>
      </c>
      <c r="J1093" s="9"/>
      <c r="K1093" s="9">
        <v>25</v>
      </c>
      <c r="L1093" s="1">
        <v>0</v>
      </c>
      <c r="M1093" s="1">
        <f t="shared" si="43"/>
        <v>25</v>
      </c>
      <c r="N1093" s="11">
        <f t="shared" si="44"/>
        <v>25</v>
      </c>
      <c r="O1093" s="9"/>
      <c r="P1093" s="9"/>
      <c r="Q1093" s="9"/>
      <c r="R1093" s="9"/>
      <c r="S1093" s="9"/>
      <c r="T1093" s="9"/>
      <c r="U1093" s="9"/>
    </row>
    <row r="1094" spans="2:21" x14ac:dyDescent="0.2">
      <c r="B1094" t="s">
        <v>1025</v>
      </c>
      <c r="C1094" t="s">
        <v>1026</v>
      </c>
      <c r="D1094" t="s">
        <v>34</v>
      </c>
      <c r="E1094" s="11"/>
      <c r="F1094" s="9"/>
      <c r="G1094" s="10">
        <v>1</v>
      </c>
      <c r="H1094" s="10">
        <v>1</v>
      </c>
      <c r="I1094">
        <v>0</v>
      </c>
      <c r="J1094" s="9"/>
      <c r="K1094" s="9">
        <v>25</v>
      </c>
      <c r="L1094" s="1">
        <v>0</v>
      </c>
      <c r="M1094" s="1">
        <f t="shared" si="43"/>
        <v>25</v>
      </c>
      <c r="N1094" s="11">
        <f t="shared" si="44"/>
        <v>25</v>
      </c>
      <c r="O1094" s="9"/>
      <c r="P1094" s="9"/>
      <c r="Q1094" s="9"/>
      <c r="R1094" s="9"/>
      <c r="S1094" s="9"/>
      <c r="T1094" s="9"/>
      <c r="U1094" s="9"/>
    </row>
    <row r="1095" spans="2:21" x14ac:dyDescent="0.2">
      <c r="B1095" t="s">
        <v>1027</v>
      </c>
      <c r="C1095" t="s">
        <v>1028</v>
      </c>
      <c r="D1095" t="s">
        <v>27</v>
      </c>
      <c r="E1095" s="11"/>
      <c r="F1095" s="9"/>
      <c r="G1095" s="10">
        <v>1</v>
      </c>
      <c r="H1095" s="10">
        <v>1</v>
      </c>
      <c r="I1095">
        <v>0</v>
      </c>
      <c r="J1095" s="9"/>
      <c r="K1095" s="9">
        <v>25</v>
      </c>
      <c r="L1095" s="1">
        <v>0</v>
      </c>
      <c r="M1095" s="1">
        <f t="shared" si="43"/>
        <v>25</v>
      </c>
      <c r="N1095" s="11">
        <f t="shared" si="44"/>
        <v>25</v>
      </c>
      <c r="O1095" s="9"/>
      <c r="P1095" s="9"/>
      <c r="Q1095" s="9"/>
      <c r="R1095" s="9"/>
      <c r="S1095" s="9"/>
      <c r="T1095" s="9"/>
      <c r="U1095" s="9"/>
    </row>
    <row r="1096" spans="2:21" x14ac:dyDescent="0.2">
      <c r="B1096" t="s">
        <v>689</v>
      </c>
      <c r="C1096" t="s">
        <v>1029</v>
      </c>
      <c r="D1096" t="s">
        <v>91</v>
      </c>
      <c r="E1096" s="11"/>
      <c r="F1096" s="9"/>
      <c r="G1096" s="10">
        <v>1</v>
      </c>
      <c r="H1096" s="10">
        <v>1</v>
      </c>
      <c r="I1096">
        <v>0</v>
      </c>
      <c r="J1096" s="9"/>
      <c r="K1096" s="9">
        <v>25</v>
      </c>
      <c r="L1096" s="1">
        <v>0</v>
      </c>
      <c r="M1096" s="1">
        <f t="shared" si="43"/>
        <v>25</v>
      </c>
      <c r="N1096" s="11">
        <f t="shared" si="44"/>
        <v>25</v>
      </c>
      <c r="O1096" s="9"/>
      <c r="P1096" s="9"/>
      <c r="Q1096" s="9"/>
      <c r="R1096" s="9"/>
      <c r="S1096" s="9"/>
      <c r="T1096" s="9"/>
      <c r="U1096" s="9"/>
    </row>
    <row r="1097" spans="2:21" x14ac:dyDescent="0.2">
      <c r="B1097" t="s">
        <v>689</v>
      </c>
      <c r="C1097" t="s">
        <v>1030</v>
      </c>
      <c r="D1097" t="s">
        <v>91</v>
      </c>
      <c r="E1097" s="11"/>
      <c r="F1097" s="9"/>
      <c r="G1097" s="10">
        <v>1</v>
      </c>
      <c r="H1097" s="10">
        <v>1</v>
      </c>
      <c r="I1097">
        <v>0</v>
      </c>
      <c r="J1097" s="9"/>
      <c r="K1097" s="9">
        <v>25</v>
      </c>
      <c r="L1097" s="1">
        <v>0</v>
      </c>
      <c r="M1097" s="1">
        <f t="shared" si="43"/>
        <v>25</v>
      </c>
      <c r="N1097" s="11">
        <f t="shared" si="44"/>
        <v>25</v>
      </c>
      <c r="O1097" s="9"/>
      <c r="P1097" s="9"/>
      <c r="Q1097" s="9"/>
      <c r="R1097" s="9"/>
      <c r="S1097" s="9"/>
      <c r="T1097" s="9"/>
      <c r="U1097" s="9"/>
    </row>
    <row r="1098" spans="2:21" x14ac:dyDescent="0.2">
      <c r="B1098" t="s">
        <v>1025</v>
      </c>
      <c r="C1098" t="s">
        <v>1031</v>
      </c>
      <c r="D1098" t="s">
        <v>34</v>
      </c>
      <c r="E1098" s="11"/>
      <c r="F1098" s="9"/>
      <c r="G1098" s="10">
        <v>1</v>
      </c>
      <c r="H1098" s="10">
        <v>1</v>
      </c>
      <c r="I1098">
        <v>0</v>
      </c>
      <c r="J1098" s="9"/>
      <c r="K1098" s="9">
        <v>25</v>
      </c>
      <c r="L1098" s="1">
        <v>0</v>
      </c>
      <c r="M1098" s="1">
        <f t="shared" si="43"/>
        <v>25</v>
      </c>
      <c r="N1098" s="11">
        <f t="shared" si="44"/>
        <v>25</v>
      </c>
      <c r="O1098" s="9"/>
      <c r="P1098" s="9"/>
      <c r="Q1098" s="9"/>
      <c r="R1098" s="9"/>
      <c r="S1098" s="9"/>
      <c r="T1098" s="9"/>
      <c r="U1098" s="9"/>
    </row>
    <row r="1099" spans="2:21" x14ac:dyDescent="0.2">
      <c r="B1099" t="s">
        <v>1001</v>
      </c>
      <c r="C1099" t="s">
        <v>1032</v>
      </c>
      <c r="D1099" t="s">
        <v>97</v>
      </c>
      <c r="E1099" s="11"/>
      <c r="F1099" s="9"/>
      <c r="G1099" s="10">
        <v>1</v>
      </c>
      <c r="H1099" s="10">
        <v>1</v>
      </c>
      <c r="I1099">
        <v>0</v>
      </c>
      <c r="J1099" s="9"/>
      <c r="K1099" s="9">
        <v>25</v>
      </c>
      <c r="L1099" s="1">
        <v>0</v>
      </c>
      <c r="M1099" s="1">
        <f t="shared" si="43"/>
        <v>25</v>
      </c>
      <c r="N1099" s="11">
        <f t="shared" si="44"/>
        <v>25</v>
      </c>
      <c r="O1099" s="9"/>
      <c r="P1099" s="9"/>
      <c r="Q1099" s="9"/>
      <c r="R1099" s="9"/>
      <c r="S1099" s="9"/>
      <c r="T1099" s="9"/>
      <c r="U1099" s="9"/>
    </row>
    <row r="1100" spans="2:21" x14ac:dyDescent="0.2">
      <c r="B1100" t="s">
        <v>689</v>
      </c>
      <c r="C1100" t="s">
        <v>1033</v>
      </c>
      <c r="D1100" t="s">
        <v>91</v>
      </c>
      <c r="E1100" s="11"/>
      <c r="F1100" s="9"/>
      <c r="G1100" s="10">
        <v>1</v>
      </c>
      <c r="H1100" s="10">
        <v>1</v>
      </c>
      <c r="I1100">
        <v>0</v>
      </c>
      <c r="J1100" s="9"/>
      <c r="K1100" s="9">
        <v>25</v>
      </c>
      <c r="L1100" s="1">
        <v>0</v>
      </c>
      <c r="M1100" s="1">
        <f t="shared" si="43"/>
        <v>25</v>
      </c>
      <c r="N1100" s="11">
        <f t="shared" si="44"/>
        <v>25</v>
      </c>
      <c r="O1100" s="9"/>
      <c r="P1100" s="9"/>
      <c r="Q1100" s="9"/>
      <c r="R1100" s="9"/>
      <c r="S1100" s="9"/>
      <c r="T1100" s="9"/>
      <c r="U1100" s="9"/>
    </row>
    <row r="1101" spans="2:21" x14ac:dyDescent="0.2">
      <c r="B1101" t="s">
        <v>689</v>
      </c>
      <c r="C1101" t="s">
        <v>1034</v>
      </c>
      <c r="D1101" t="s">
        <v>91</v>
      </c>
      <c r="E1101" s="11"/>
      <c r="F1101" s="9"/>
      <c r="G1101" s="10">
        <v>1</v>
      </c>
      <c r="H1101" s="10">
        <v>1</v>
      </c>
      <c r="I1101">
        <v>0</v>
      </c>
      <c r="J1101" s="9"/>
      <c r="K1101" s="9">
        <v>25</v>
      </c>
      <c r="L1101" s="1">
        <v>0</v>
      </c>
      <c r="M1101" s="1">
        <f t="shared" si="43"/>
        <v>25</v>
      </c>
      <c r="N1101" s="11">
        <f t="shared" si="44"/>
        <v>25</v>
      </c>
      <c r="O1101" s="9"/>
      <c r="P1101" s="9"/>
      <c r="Q1101" s="9"/>
      <c r="R1101" s="9"/>
      <c r="S1101" s="9"/>
      <c r="T1101" s="9"/>
      <c r="U1101" s="9"/>
    </row>
    <row r="1102" spans="2:21" x14ac:dyDescent="0.2">
      <c r="B1102" t="s">
        <v>1001</v>
      </c>
      <c r="C1102" t="s">
        <v>1035</v>
      </c>
      <c r="D1102" t="s">
        <v>97</v>
      </c>
      <c r="E1102" s="11"/>
      <c r="F1102" s="9"/>
      <c r="G1102" s="10">
        <v>1</v>
      </c>
      <c r="H1102" s="10">
        <v>1</v>
      </c>
      <c r="I1102">
        <v>0</v>
      </c>
      <c r="J1102" s="9"/>
      <c r="K1102" s="9">
        <v>25</v>
      </c>
      <c r="L1102" s="1">
        <v>0</v>
      </c>
      <c r="M1102" s="1">
        <f t="shared" si="43"/>
        <v>25</v>
      </c>
      <c r="N1102" s="11">
        <f t="shared" si="44"/>
        <v>25</v>
      </c>
      <c r="O1102" s="9"/>
      <c r="P1102" s="9"/>
      <c r="Q1102" s="9"/>
      <c r="R1102" s="9"/>
      <c r="S1102" s="9"/>
      <c r="T1102" s="9"/>
      <c r="U1102" s="9"/>
    </row>
    <row r="1103" spans="2:21" x14ac:dyDescent="0.2">
      <c r="B1103" t="s">
        <v>1001</v>
      </c>
      <c r="C1103" t="s">
        <v>1036</v>
      </c>
      <c r="D1103" t="s">
        <v>97</v>
      </c>
      <c r="E1103" s="11"/>
      <c r="F1103" s="9"/>
      <c r="G1103" s="10">
        <v>1</v>
      </c>
      <c r="H1103" s="10">
        <v>1</v>
      </c>
      <c r="I1103">
        <v>0</v>
      </c>
      <c r="J1103" s="9"/>
      <c r="K1103" s="9">
        <v>25</v>
      </c>
      <c r="L1103" s="1">
        <v>0</v>
      </c>
      <c r="M1103" s="1">
        <f t="shared" si="43"/>
        <v>25</v>
      </c>
      <c r="N1103" s="11">
        <f t="shared" si="44"/>
        <v>25</v>
      </c>
      <c r="O1103" s="9"/>
      <c r="P1103" s="9"/>
      <c r="Q1103" s="9"/>
      <c r="R1103" s="9"/>
      <c r="S1103" s="9"/>
      <c r="T1103" s="9"/>
      <c r="U1103" s="9"/>
    </row>
    <row r="1104" spans="2:21" x14ac:dyDescent="0.2">
      <c r="B1104" t="s">
        <v>689</v>
      </c>
      <c r="C1104" t="s">
        <v>1037</v>
      </c>
      <c r="D1104" t="s">
        <v>91</v>
      </c>
      <c r="E1104" s="11"/>
      <c r="F1104" s="9"/>
      <c r="G1104" s="10">
        <v>1</v>
      </c>
      <c r="H1104" s="10">
        <v>1</v>
      </c>
      <c r="I1104">
        <v>0</v>
      </c>
      <c r="J1104" s="9"/>
      <c r="K1104" s="9">
        <v>25</v>
      </c>
      <c r="L1104" s="1">
        <v>0</v>
      </c>
      <c r="M1104" s="1">
        <f t="shared" si="43"/>
        <v>25</v>
      </c>
      <c r="N1104" s="11">
        <f t="shared" si="44"/>
        <v>25</v>
      </c>
      <c r="O1104" s="9"/>
      <c r="P1104" s="9"/>
      <c r="Q1104" s="9"/>
      <c r="R1104" s="9"/>
      <c r="S1104" s="9"/>
      <c r="T1104" s="9"/>
      <c r="U1104" s="9"/>
    </row>
    <row r="1105" spans="2:21" x14ac:dyDescent="0.2">
      <c r="B1105" t="s">
        <v>689</v>
      </c>
      <c r="C1105" t="s">
        <v>1038</v>
      </c>
      <c r="D1105" t="s">
        <v>91</v>
      </c>
      <c r="E1105" s="11"/>
      <c r="F1105" s="9"/>
      <c r="G1105" s="10">
        <v>1</v>
      </c>
      <c r="H1105" s="10">
        <v>1</v>
      </c>
      <c r="I1105">
        <v>0</v>
      </c>
      <c r="J1105" s="9"/>
      <c r="K1105" s="9">
        <v>25</v>
      </c>
      <c r="L1105" s="1">
        <v>0</v>
      </c>
      <c r="M1105" s="1">
        <f t="shared" si="43"/>
        <v>25</v>
      </c>
      <c r="N1105" s="11">
        <f t="shared" si="44"/>
        <v>25</v>
      </c>
      <c r="O1105" s="9"/>
      <c r="P1105" s="9"/>
      <c r="Q1105" s="9"/>
      <c r="R1105" s="9"/>
      <c r="S1105" s="9"/>
      <c r="T1105" s="9"/>
      <c r="U1105" s="9"/>
    </row>
    <row r="1106" spans="2:21" x14ac:dyDescent="0.2">
      <c r="B1106" t="s">
        <v>970</v>
      </c>
      <c r="C1106" t="s">
        <v>973</v>
      </c>
      <c r="D1106" t="s">
        <v>130</v>
      </c>
      <c r="G1106">
        <v>1</v>
      </c>
      <c r="H1106">
        <v>1</v>
      </c>
      <c r="I1106">
        <v>0</v>
      </c>
      <c r="J1106" s="9"/>
      <c r="K1106" s="9">
        <v>40</v>
      </c>
      <c r="L1106" s="1">
        <v>0</v>
      </c>
      <c r="M1106" s="1">
        <f t="shared" si="43"/>
        <v>40</v>
      </c>
      <c r="N1106" s="11">
        <f t="shared" si="44"/>
        <v>40</v>
      </c>
    </row>
    <row r="1107" spans="2:21" x14ac:dyDescent="0.2">
      <c r="B1107" t="s">
        <v>970</v>
      </c>
      <c r="C1107" t="s">
        <v>973</v>
      </c>
      <c r="D1107" t="s">
        <v>158</v>
      </c>
      <c r="G1107">
        <v>1</v>
      </c>
      <c r="H1107">
        <v>1</v>
      </c>
      <c r="I1107">
        <v>0</v>
      </c>
      <c r="J1107" s="9"/>
      <c r="K1107" s="9">
        <v>40</v>
      </c>
      <c r="L1107" s="1">
        <v>0</v>
      </c>
      <c r="M1107" s="1">
        <f t="shared" si="43"/>
        <v>40</v>
      </c>
      <c r="N1107" s="11">
        <f t="shared" si="44"/>
        <v>40</v>
      </c>
    </row>
    <row r="1108" spans="2:21" x14ac:dyDescent="0.2">
      <c r="B1108" t="s">
        <v>970</v>
      </c>
      <c r="C1108" t="s">
        <v>986</v>
      </c>
      <c r="D1108" t="s">
        <v>385</v>
      </c>
      <c r="G1108">
        <v>1</v>
      </c>
      <c r="H1108">
        <v>1</v>
      </c>
      <c r="I1108">
        <v>0</v>
      </c>
      <c r="J1108" s="9"/>
      <c r="K1108" s="9">
        <v>40</v>
      </c>
      <c r="L1108" s="1">
        <v>0</v>
      </c>
      <c r="M1108" s="1">
        <f t="shared" si="43"/>
        <v>40</v>
      </c>
      <c r="N1108" s="11">
        <f t="shared" si="44"/>
        <v>40</v>
      </c>
    </row>
    <row r="1109" spans="2:21" x14ac:dyDescent="0.2">
      <c r="B1109" t="s">
        <v>970</v>
      </c>
      <c r="C1109" t="s">
        <v>986</v>
      </c>
      <c r="D1109" t="s">
        <v>158</v>
      </c>
      <c r="G1109">
        <v>1</v>
      </c>
      <c r="H1109">
        <v>1</v>
      </c>
      <c r="I1109">
        <v>0</v>
      </c>
      <c r="J1109" s="9"/>
      <c r="K1109" s="9">
        <v>40</v>
      </c>
      <c r="L1109" s="1">
        <v>0</v>
      </c>
      <c r="M1109" s="1">
        <f t="shared" si="43"/>
        <v>40</v>
      </c>
      <c r="N1109" s="11">
        <f t="shared" si="44"/>
        <v>40</v>
      </c>
    </row>
    <row r="1110" spans="2:21" x14ac:dyDescent="0.2">
      <c r="B1110" t="s">
        <v>970</v>
      </c>
      <c r="C1110" t="s">
        <v>986</v>
      </c>
      <c r="D1110" t="s">
        <v>384</v>
      </c>
      <c r="G1110">
        <v>1</v>
      </c>
      <c r="H1110">
        <v>1</v>
      </c>
      <c r="I1110">
        <v>0</v>
      </c>
      <c r="J1110" s="9"/>
      <c r="K1110" s="9">
        <v>40</v>
      </c>
      <c r="L1110" s="1">
        <v>0</v>
      </c>
      <c r="M1110" s="1">
        <f t="shared" si="43"/>
        <v>40</v>
      </c>
      <c r="N1110" s="11">
        <f t="shared" si="44"/>
        <v>40</v>
      </c>
    </row>
    <row r="1111" spans="2:21" x14ac:dyDescent="0.2">
      <c r="B1111" t="s">
        <v>970</v>
      </c>
      <c r="C1111" t="s">
        <v>1039</v>
      </c>
      <c r="D1111" t="s">
        <v>158</v>
      </c>
      <c r="G1111">
        <v>2</v>
      </c>
      <c r="H1111">
        <v>1</v>
      </c>
      <c r="I1111">
        <v>1</v>
      </c>
      <c r="J1111" s="9"/>
      <c r="K1111" s="9">
        <v>30</v>
      </c>
      <c r="L1111" s="1">
        <v>0</v>
      </c>
      <c r="M1111" s="1">
        <f t="shared" si="43"/>
        <v>30</v>
      </c>
      <c r="N1111" s="11">
        <f t="shared" si="44"/>
        <v>60</v>
      </c>
    </row>
    <row r="1112" spans="2:21" x14ac:dyDescent="0.2">
      <c r="B1112" t="s">
        <v>970</v>
      </c>
      <c r="C1112" t="s">
        <v>1040</v>
      </c>
      <c r="D1112" t="s">
        <v>158</v>
      </c>
      <c r="G1112">
        <v>1</v>
      </c>
      <c r="H1112">
        <v>1</v>
      </c>
      <c r="I1112">
        <v>0</v>
      </c>
      <c r="J1112" s="9"/>
      <c r="K1112" s="9">
        <v>30</v>
      </c>
      <c r="L1112" s="1">
        <v>0</v>
      </c>
      <c r="M1112" s="1">
        <f t="shared" si="43"/>
        <v>30</v>
      </c>
      <c r="N1112" s="11">
        <f t="shared" si="44"/>
        <v>30</v>
      </c>
    </row>
    <row r="1113" spans="2:21" x14ac:dyDescent="0.2">
      <c r="B1113" t="s">
        <v>970</v>
      </c>
      <c r="C1113" t="s">
        <v>984</v>
      </c>
      <c r="D1113" t="s">
        <v>130</v>
      </c>
      <c r="G1113">
        <v>1</v>
      </c>
      <c r="H1113">
        <v>0</v>
      </c>
      <c r="I1113">
        <f>G1113</f>
        <v>1</v>
      </c>
      <c r="J1113" s="9"/>
      <c r="K1113" s="9">
        <v>75</v>
      </c>
      <c r="L1113" s="1">
        <v>0</v>
      </c>
      <c r="M1113" s="1">
        <f t="shared" si="43"/>
        <v>75</v>
      </c>
      <c r="N1113" s="11">
        <f t="shared" si="44"/>
        <v>75</v>
      </c>
    </row>
    <row r="1114" spans="2:21" x14ac:dyDescent="0.2">
      <c r="B1114" t="s">
        <v>970</v>
      </c>
      <c r="C1114" t="s">
        <v>1041</v>
      </c>
      <c r="D1114" t="s">
        <v>130</v>
      </c>
      <c r="G1114">
        <v>2</v>
      </c>
      <c r="H1114">
        <v>2</v>
      </c>
      <c r="I1114">
        <v>0</v>
      </c>
      <c r="J1114" s="9"/>
      <c r="K1114" s="9">
        <v>40</v>
      </c>
      <c r="L1114" s="1">
        <v>0</v>
      </c>
      <c r="M1114" s="1">
        <f t="shared" si="43"/>
        <v>40</v>
      </c>
      <c r="N1114" s="11">
        <f t="shared" si="44"/>
        <v>80</v>
      </c>
    </row>
    <row r="1115" spans="2:21" x14ac:dyDescent="0.2">
      <c r="B1115" t="s">
        <v>970</v>
      </c>
      <c r="C1115" t="s">
        <v>1042</v>
      </c>
      <c r="D1115" t="s">
        <v>385</v>
      </c>
      <c r="G1115">
        <v>1</v>
      </c>
      <c r="H1115">
        <v>1</v>
      </c>
      <c r="I1115">
        <v>0</v>
      </c>
      <c r="J1115" s="9"/>
      <c r="K1115" s="9">
        <v>40</v>
      </c>
      <c r="L1115" s="1">
        <v>0</v>
      </c>
      <c r="M1115" s="1">
        <f t="shared" si="43"/>
        <v>40</v>
      </c>
      <c r="N1115" s="11">
        <f t="shared" si="44"/>
        <v>40</v>
      </c>
    </row>
    <row r="1116" spans="2:21" x14ac:dyDescent="0.2">
      <c r="B1116" t="s">
        <v>970</v>
      </c>
      <c r="C1116" t="s">
        <v>1043</v>
      </c>
      <c r="D1116" t="s">
        <v>156</v>
      </c>
      <c r="G1116">
        <v>1</v>
      </c>
      <c r="H1116">
        <v>1</v>
      </c>
      <c r="I1116">
        <v>0</v>
      </c>
      <c r="J1116" s="9"/>
      <c r="K1116" s="9">
        <v>30</v>
      </c>
      <c r="L1116" s="1">
        <v>0</v>
      </c>
      <c r="M1116" s="1">
        <f t="shared" si="43"/>
        <v>30</v>
      </c>
      <c r="N1116" s="11">
        <f t="shared" si="44"/>
        <v>30</v>
      </c>
    </row>
    <row r="1117" spans="2:21" x14ac:dyDescent="0.2">
      <c r="B1117" t="s">
        <v>970</v>
      </c>
      <c r="C1117" t="s">
        <v>1043</v>
      </c>
      <c r="D1117" t="s">
        <v>158</v>
      </c>
      <c r="G1117">
        <v>1</v>
      </c>
      <c r="H1117">
        <v>1</v>
      </c>
      <c r="I1117">
        <v>0</v>
      </c>
      <c r="J1117" s="9"/>
      <c r="K1117" s="9">
        <v>30</v>
      </c>
      <c r="L1117" s="1">
        <v>0</v>
      </c>
      <c r="M1117" s="1">
        <f t="shared" si="43"/>
        <v>30</v>
      </c>
      <c r="N1117" s="11">
        <f t="shared" si="44"/>
        <v>30</v>
      </c>
    </row>
    <row r="1118" spans="2:21" x14ac:dyDescent="0.2">
      <c r="B1118" t="s">
        <v>970</v>
      </c>
      <c r="C1118" t="s">
        <v>1043</v>
      </c>
      <c r="D1118" t="s">
        <v>385</v>
      </c>
      <c r="G1118">
        <v>1</v>
      </c>
      <c r="H1118">
        <v>0</v>
      </c>
      <c r="I1118">
        <v>0</v>
      </c>
      <c r="J1118" s="9"/>
      <c r="K1118" s="9">
        <v>30</v>
      </c>
      <c r="L1118" s="1">
        <v>0</v>
      </c>
      <c r="M1118" s="1">
        <f t="shared" si="43"/>
        <v>30</v>
      </c>
      <c r="N1118" s="11">
        <f t="shared" si="44"/>
        <v>30</v>
      </c>
    </row>
    <row r="1119" spans="2:21" x14ac:dyDescent="0.2">
      <c r="B1119" t="s">
        <v>970</v>
      </c>
      <c r="C1119" t="s">
        <v>1044</v>
      </c>
      <c r="D1119" t="s">
        <v>130</v>
      </c>
      <c r="G1119">
        <v>1</v>
      </c>
      <c r="H1119">
        <v>0</v>
      </c>
      <c r="I1119">
        <f>G1119</f>
        <v>1</v>
      </c>
      <c r="J1119" s="9"/>
      <c r="K1119" s="9">
        <v>70</v>
      </c>
      <c r="L1119" s="1">
        <v>0</v>
      </c>
      <c r="M1119" s="1">
        <f t="shared" si="43"/>
        <v>70</v>
      </c>
      <c r="N1119" s="11">
        <f t="shared" si="44"/>
        <v>70</v>
      </c>
    </row>
    <row r="1120" spans="2:21" x14ac:dyDescent="0.2">
      <c r="B1120" t="s">
        <v>976</v>
      </c>
      <c r="C1120" t="s">
        <v>980</v>
      </c>
      <c r="D1120" t="s">
        <v>131</v>
      </c>
      <c r="G1120">
        <v>1</v>
      </c>
      <c r="H1120">
        <v>1</v>
      </c>
      <c r="I1120">
        <v>0</v>
      </c>
      <c r="J1120" s="9"/>
      <c r="K1120" s="9">
        <v>25</v>
      </c>
      <c r="L1120" s="1">
        <v>0</v>
      </c>
      <c r="M1120" s="1">
        <f t="shared" si="43"/>
        <v>25</v>
      </c>
      <c r="N1120" s="11">
        <f t="shared" si="44"/>
        <v>25</v>
      </c>
    </row>
    <row r="1121" spans="2:14" x14ac:dyDescent="0.2">
      <c r="B1121" t="s">
        <v>976</v>
      </c>
      <c r="C1121" t="s">
        <v>980</v>
      </c>
      <c r="D1121" t="s">
        <v>384</v>
      </c>
      <c r="G1121">
        <v>1</v>
      </c>
      <c r="H1121">
        <v>1</v>
      </c>
      <c r="I1121">
        <v>0</v>
      </c>
      <c r="J1121" s="9"/>
      <c r="K1121" s="9">
        <v>25</v>
      </c>
      <c r="L1121" s="1">
        <v>0</v>
      </c>
      <c r="M1121" s="1">
        <f t="shared" si="43"/>
        <v>25</v>
      </c>
      <c r="N1121" s="11">
        <f t="shared" si="44"/>
        <v>25</v>
      </c>
    </row>
    <row r="1122" spans="2:14" x14ac:dyDescent="0.2">
      <c r="B1122" t="s">
        <v>976</v>
      </c>
      <c r="C1122" t="s">
        <v>1045</v>
      </c>
      <c r="D1122" t="s">
        <v>130</v>
      </c>
      <c r="G1122">
        <v>2</v>
      </c>
      <c r="H1122">
        <v>1</v>
      </c>
      <c r="I1122">
        <v>1</v>
      </c>
      <c r="J1122" s="9"/>
      <c r="K1122" s="9">
        <v>25</v>
      </c>
      <c r="L1122" s="1">
        <v>0</v>
      </c>
      <c r="M1122" s="1">
        <f t="shared" si="43"/>
        <v>25</v>
      </c>
      <c r="N1122" s="11">
        <f t="shared" si="44"/>
        <v>50</v>
      </c>
    </row>
    <row r="1123" spans="2:14" x14ac:dyDescent="0.2">
      <c r="B1123" t="s">
        <v>976</v>
      </c>
      <c r="C1123" t="s">
        <v>1045</v>
      </c>
      <c r="D1123" t="s">
        <v>384</v>
      </c>
      <c r="G1123">
        <v>1</v>
      </c>
      <c r="H1123">
        <v>1</v>
      </c>
      <c r="I1123">
        <v>0</v>
      </c>
      <c r="J1123" s="9"/>
      <c r="K1123" s="9">
        <v>25</v>
      </c>
      <c r="L1123" s="1">
        <v>0</v>
      </c>
      <c r="M1123" s="1">
        <f t="shared" si="43"/>
        <v>25</v>
      </c>
      <c r="N1123" s="11">
        <f t="shared" si="44"/>
        <v>25</v>
      </c>
    </row>
    <row r="1124" spans="2:14" x14ac:dyDescent="0.2">
      <c r="B1124" t="s">
        <v>976</v>
      </c>
      <c r="C1124" t="s">
        <v>1045</v>
      </c>
      <c r="D1124" t="s">
        <v>129</v>
      </c>
      <c r="G1124">
        <v>1</v>
      </c>
      <c r="H1124">
        <v>1</v>
      </c>
      <c r="I1124">
        <v>0</v>
      </c>
      <c r="J1124" s="9"/>
      <c r="K1124" s="9">
        <v>25</v>
      </c>
      <c r="L1124" s="1">
        <v>0</v>
      </c>
      <c r="M1124" s="1">
        <f t="shared" si="43"/>
        <v>25</v>
      </c>
      <c r="N1124" s="11">
        <f t="shared" si="44"/>
        <v>25</v>
      </c>
    </row>
    <row r="1125" spans="2:14" x14ac:dyDescent="0.2">
      <c r="B1125" t="s">
        <v>976</v>
      </c>
      <c r="C1125" t="s">
        <v>979</v>
      </c>
      <c r="D1125" t="s">
        <v>128</v>
      </c>
      <c r="G1125">
        <v>1</v>
      </c>
      <c r="H1125">
        <v>0</v>
      </c>
      <c r="I1125">
        <f>G1125</f>
        <v>1</v>
      </c>
      <c r="J1125" s="9"/>
      <c r="K1125" s="9">
        <v>25</v>
      </c>
      <c r="L1125" s="1">
        <v>0</v>
      </c>
      <c r="M1125" s="1">
        <f t="shared" si="43"/>
        <v>25</v>
      </c>
      <c r="N1125" s="11">
        <f t="shared" si="44"/>
        <v>25</v>
      </c>
    </row>
    <row r="1126" spans="2:14" x14ac:dyDescent="0.2">
      <c r="B1126" t="s">
        <v>976</v>
      </c>
      <c r="C1126" t="s">
        <v>980</v>
      </c>
      <c r="D1126" t="s">
        <v>129</v>
      </c>
      <c r="G1126">
        <v>1</v>
      </c>
      <c r="H1126">
        <v>1</v>
      </c>
      <c r="I1126">
        <v>0</v>
      </c>
      <c r="J1126" s="9"/>
      <c r="K1126" s="9">
        <v>25</v>
      </c>
      <c r="L1126" s="1">
        <v>0</v>
      </c>
      <c r="M1126" s="1">
        <f t="shared" si="43"/>
        <v>25</v>
      </c>
      <c r="N1126" s="11">
        <f t="shared" si="44"/>
        <v>25</v>
      </c>
    </row>
    <row r="1127" spans="2:14" x14ac:dyDescent="0.2">
      <c r="B1127" t="s">
        <v>976</v>
      </c>
      <c r="C1127" t="s">
        <v>978</v>
      </c>
      <c r="D1127" t="s">
        <v>131</v>
      </c>
      <c r="G1127">
        <v>2</v>
      </c>
      <c r="H1127">
        <v>1</v>
      </c>
      <c r="I1127">
        <v>1</v>
      </c>
      <c r="J1127" s="9"/>
      <c r="K1127" s="9">
        <v>25</v>
      </c>
      <c r="L1127" s="1">
        <v>0</v>
      </c>
      <c r="M1127" s="1">
        <f t="shared" si="43"/>
        <v>25</v>
      </c>
      <c r="N1127" s="11">
        <f t="shared" si="44"/>
        <v>50</v>
      </c>
    </row>
    <row r="1128" spans="2:14" x14ac:dyDescent="0.2">
      <c r="B1128" t="s">
        <v>976</v>
      </c>
      <c r="C1128" t="s">
        <v>978</v>
      </c>
      <c r="D1128" t="s">
        <v>1046</v>
      </c>
      <c r="G1128">
        <v>1</v>
      </c>
      <c r="H1128">
        <v>1</v>
      </c>
      <c r="I1128">
        <v>0</v>
      </c>
      <c r="J1128" s="9"/>
      <c r="K1128" s="9">
        <v>25</v>
      </c>
      <c r="L1128" s="1">
        <v>0</v>
      </c>
      <c r="M1128" s="1">
        <f t="shared" si="43"/>
        <v>25</v>
      </c>
      <c r="N1128" s="11">
        <f t="shared" si="44"/>
        <v>25</v>
      </c>
    </row>
    <row r="1129" spans="2:14" x14ac:dyDescent="0.2">
      <c r="B1129" t="s">
        <v>976</v>
      </c>
      <c r="C1129" t="s">
        <v>977</v>
      </c>
      <c r="D1129" t="s">
        <v>132</v>
      </c>
      <c r="G1129">
        <v>1</v>
      </c>
      <c r="H1129">
        <v>1</v>
      </c>
      <c r="I1129">
        <v>0</v>
      </c>
      <c r="J1129" s="9"/>
      <c r="K1129" s="9">
        <v>25</v>
      </c>
      <c r="L1129" s="1">
        <v>0</v>
      </c>
      <c r="M1129" s="1">
        <f t="shared" si="43"/>
        <v>25</v>
      </c>
      <c r="N1129" s="11">
        <f t="shared" si="44"/>
        <v>25</v>
      </c>
    </row>
    <row r="1130" spans="2:14" x14ac:dyDescent="0.2">
      <c r="B1130" t="s">
        <v>976</v>
      </c>
      <c r="C1130" t="s">
        <v>977</v>
      </c>
      <c r="D1130" t="s">
        <v>130</v>
      </c>
      <c r="G1130">
        <v>1</v>
      </c>
      <c r="H1130">
        <v>1</v>
      </c>
      <c r="I1130">
        <v>0</v>
      </c>
      <c r="J1130" s="9"/>
      <c r="K1130" s="9">
        <v>25</v>
      </c>
      <c r="L1130" s="1">
        <v>0</v>
      </c>
      <c r="M1130" s="1">
        <f t="shared" si="43"/>
        <v>25</v>
      </c>
      <c r="N1130" s="11">
        <f t="shared" si="44"/>
        <v>25</v>
      </c>
    </row>
    <row r="1131" spans="2:14" x14ac:dyDescent="0.2">
      <c r="B1131" t="s">
        <v>976</v>
      </c>
      <c r="C1131" t="s">
        <v>1047</v>
      </c>
      <c r="D1131" t="s">
        <v>131</v>
      </c>
      <c r="G1131">
        <v>1</v>
      </c>
      <c r="H1131">
        <v>1</v>
      </c>
      <c r="I1131">
        <v>0</v>
      </c>
      <c r="J1131" s="9"/>
      <c r="K1131" s="9">
        <v>25</v>
      </c>
      <c r="L1131" s="1">
        <v>0</v>
      </c>
      <c r="M1131" s="1">
        <f t="shared" si="43"/>
        <v>25</v>
      </c>
      <c r="N1131" s="11">
        <f t="shared" si="44"/>
        <v>25</v>
      </c>
    </row>
    <row r="1132" spans="2:14" x14ac:dyDescent="0.2">
      <c r="B1132" t="s">
        <v>976</v>
      </c>
      <c r="C1132" t="s">
        <v>1047</v>
      </c>
      <c r="D1132" t="s">
        <v>130</v>
      </c>
      <c r="G1132">
        <v>1</v>
      </c>
      <c r="H1132">
        <v>1</v>
      </c>
      <c r="I1132">
        <v>0</v>
      </c>
      <c r="J1132" s="9"/>
      <c r="K1132" s="9">
        <v>25</v>
      </c>
      <c r="L1132" s="1">
        <v>0</v>
      </c>
      <c r="M1132" s="1">
        <f t="shared" si="43"/>
        <v>25</v>
      </c>
      <c r="N1132" s="11">
        <f t="shared" si="44"/>
        <v>25</v>
      </c>
    </row>
    <row r="1133" spans="2:14" x14ac:dyDescent="0.2">
      <c r="B1133" t="s">
        <v>976</v>
      </c>
      <c r="C1133" t="s">
        <v>1048</v>
      </c>
      <c r="D1133" t="s">
        <v>132</v>
      </c>
      <c r="G1133">
        <v>1</v>
      </c>
      <c r="H1133">
        <v>1</v>
      </c>
      <c r="I1133">
        <v>0</v>
      </c>
      <c r="J1133" s="9"/>
      <c r="K1133" s="9">
        <v>25</v>
      </c>
      <c r="L1133" s="1">
        <v>0</v>
      </c>
      <c r="M1133" s="1">
        <f t="shared" si="43"/>
        <v>25</v>
      </c>
      <c r="N1133" s="11">
        <f t="shared" si="44"/>
        <v>25</v>
      </c>
    </row>
    <row r="1134" spans="2:14" x14ac:dyDescent="0.2">
      <c r="B1134" t="s">
        <v>976</v>
      </c>
      <c r="C1134" t="s">
        <v>1049</v>
      </c>
      <c r="D1134" t="s">
        <v>1050</v>
      </c>
      <c r="G1134">
        <v>2</v>
      </c>
      <c r="H1134">
        <v>0</v>
      </c>
      <c r="I1134">
        <f>G1134</f>
        <v>2</v>
      </c>
      <c r="J1134" s="9"/>
      <c r="K1134" s="9">
        <v>12</v>
      </c>
      <c r="L1134" s="1">
        <v>0</v>
      </c>
      <c r="M1134" s="1">
        <f t="shared" si="43"/>
        <v>12</v>
      </c>
      <c r="N1134" s="11">
        <f t="shared" si="44"/>
        <v>24</v>
      </c>
    </row>
    <row r="1135" spans="2:14" x14ac:dyDescent="0.2">
      <c r="B1135" t="s">
        <v>976</v>
      </c>
      <c r="C1135" t="s">
        <v>1051</v>
      </c>
      <c r="D1135" t="s">
        <v>1052</v>
      </c>
      <c r="G1135">
        <v>2</v>
      </c>
      <c r="H1135">
        <v>0</v>
      </c>
      <c r="I1135">
        <f>G1135</f>
        <v>2</v>
      </c>
      <c r="J1135" s="9"/>
      <c r="K1135" s="9">
        <v>12</v>
      </c>
      <c r="L1135" s="1">
        <v>0</v>
      </c>
      <c r="M1135" s="1">
        <f t="shared" si="43"/>
        <v>12</v>
      </c>
      <c r="N1135" s="11">
        <f t="shared" si="44"/>
        <v>24</v>
      </c>
    </row>
    <row r="1136" spans="2:14" x14ac:dyDescent="0.2">
      <c r="B1136" t="s">
        <v>976</v>
      </c>
      <c r="C1136" t="s">
        <v>1053</v>
      </c>
      <c r="D1136" t="s">
        <v>1052</v>
      </c>
      <c r="G1136">
        <v>1</v>
      </c>
      <c r="H1136">
        <v>0</v>
      </c>
      <c r="I1136">
        <f>G1136</f>
        <v>1</v>
      </c>
      <c r="J1136" s="9"/>
      <c r="K1136" s="9">
        <v>12</v>
      </c>
      <c r="L1136" s="1">
        <v>0</v>
      </c>
      <c r="M1136" s="1">
        <f t="shared" si="43"/>
        <v>12</v>
      </c>
      <c r="N1136" s="11">
        <f t="shared" si="44"/>
        <v>12</v>
      </c>
    </row>
    <row r="1137" spans="1:14" x14ac:dyDescent="0.2">
      <c r="B1137" t="s">
        <v>976</v>
      </c>
      <c r="C1137" t="s">
        <v>1054</v>
      </c>
      <c r="D1137" t="s">
        <v>131</v>
      </c>
      <c r="G1137">
        <v>1</v>
      </c>
      <c r="H1137">
        <v>1</v>
      </c>
      <c r="I1137">
        <v>0</v>
      </c>
      <c r="J1137" s="9"/>
      <c r="K1137" s="9">
        <v>30</v>
      </c>
      <c r="L1137" s="1">
        <v>0</v>
      </c>
      <c r="M1137" s="1">
        <f t="shared" si="43"/>
        <v>30</v>
      </c>
      <c r="N1137" s="11">
        <f t="shared" si="44"/>
        <v>30</v>
      </c>
    </row>
    <row r="1138" spans="1:14" x14ac:dyDescent="0.2">
      <c r="B1138" t="s">
        <v>976</v>
      </c>
      <c r="C1138" t="s">
        <v>1055</v>
      </c>
      <c r="D1138" t="s">
        <v>130</v>
      </c>
      <c r="G1138">
        <v>1</v>
      </c>
      <c r="H1138">
        <v>1</v>
      </c>
      <c r="I1138">
        <v>0</v>
      </c>
      <c r="J1138" s="9"/>
      <c r="K1138" s="9">
        <v>30</v>
      </c>
      <c r="L1138" s="1">
        <v>0</v>
      </c>
      <c r="M1138" s="1">
        <f t="shared" si="43"/>
        <v>30</v>
      </c>
      <c r="N1138" s="11">
        <f t="shared" si="44"/>
        <v>30</v>
      </c>
    </row>
    <row r="1139" spans="1:14" x14ac:dyDescent="0.2">
      <c r="B1139" t="s">
        <v>976</v>
      </c>
      <c r="C1139" t="s">
        <v>1056</v>
      </c>
      <c r="D1139" t="s">
        <v>129</v>
      </c>
      <c r="G1139">
        <v>1</v>
      </c>
      <c r="H1139">
        <v>1</v>
      </c>
      <c r="I1139">
        <v>0</v>
      </c>
      <c r="J1139" s="9"/>
      <c r="K1139" s="9">
        <v>15</v>
      </c>
      <c r="L1139" s="1">
        <v>0</v>
      </c>
      <c r="M1139" s="1">
        <f t="shared" si="43"/>
        <v>15</v>
      </c>
      <c r="N1139" s="11">
        <f t="shared" si="44"/>
        <v>15</v>
      </c>
    </row>
    <row r="1140" spans="1:14" x14ac:dyDescent="0.2">
      <c r="B1140" t="s">
        <v>976</v>
      </c>
      <c r="C1140" t="s">
        <v>1056</v>
      </c>
      <c r="D1140" t="s">
        <v>131</v>
      </c>
      <c r="G1140">
        <v>1</v>
      </c>
      <c r="H1140">
        <v>1</v>
      </c>
      <c r="I1140">
        <v>0</v>
      </c>
      <c r="J1140" s="9"/>
      <c r="K1140" s="9">
        <v>15</v>
      </c>
      <c r="L1140" s="1">
        <v>0</v>
      </c>
      <c r="M1140" s="1">
        <f t="shared" si="43"/>
        <v>15</v>
      </c>
      <c r="N1140" s="11">
        <f t="shared" si="44"/>
        <v>15</v>
      </c>
    </row>
    <row r="1141" spans="1:14" x14ac:dyDescent="0.2">
      <c r="B1141" t="s">
        <v>976</v>
      </c>
      <c r="C1141" t="s">
        <v>1056</v>
      </c>
      <c r="D1141" t="s">
        <v>130</v>
      </c>
      <c r="G1141">
        <v>1</v>
      </c>
      <c r="H1141">
        <v>1</v>
      </c>
      <c r="I1141">
        <v>0</v>
      </c>
      <c r="J1141" s="9"/>
      <c r="K1141" s="9">
        <v>15</v>
      </c>
      <c r="L1141" s="1">
        <v>0</v>
      </c>
      <c r="M1141" s="1">
        <f t="shared" si="43"/>
        <v>15</v>
      </c>
      <c r="N1141" s="11">
        <f t="shared" si="44"/>
        <v>15</v>
      </c>
    </row>
    <row r="1142" spans="1:14" x14ac:dyDescent="0.2">
      <c r="B1142" t="s">
        <v>976</v>
      </c>
      <c r="C1142" t="s">
        <v>1057</v>
      </c>
      <c r="D1142" t="s">
        <v>129</v>
      </c>
      <c r="G1142">
        <v>1</v>
      </c>
      <c r="H1142">
        <v>1</v>
      </c>
      <c r="I1142">
        <v>0</v>
      </c>
      <c r="J1142" s="9"/>
      <c r="K1142" s="9">
        <v>15</v>
      </c>
      <c r="L1142" s="1">
        <v>0</v>
      </c>
      <c r="M1142" s="1">
        <f t="shared" si="43"/>
        <v>15</v>
      </c>
      <c r="N1142" s="11">
        <f t="shared" si="44"/>
        <v>15</v>
      </c>
    </row>
    <row r="1143" spans="1:14" x14ac:dyDescent="0.2">
      <c r="B1143" t="s">
        <v>976</v>
      </c>
      <c r="C1143" t="s">
        <v>1057</v>
      </c>
      <c r="D1143" t="s">
        <v>130</v>
      </c>
      <c r="G1143">
        <v>1</v>
      </c>
      <c r="H1143">
        <v>1</v>
      </c>
      <c r="I1143">
        <v>0</v>
      </c>
      <c r="K1143" s="9">
        <v>15</v>
      </c>
      <c r="L1143" s="1">
        <v>0</v>
      </c>
      <c r="M1143" s="1">
        <f t="shared" si="43"/>
        <v>15</v>
      </c>
      <c r="N1143" s="11">
        <f t="shared" si="44"/>
        <v>15</v>
      </c>
    </row>
    <row r="1144" spans="1:14" x14ac:dyDescent="0.2">
      <c r="B1144" t="s">
        <v>976</v>
      </c>
      <c r="C1144" t="s">
        <v>1057</v>
      </c>
      <c r="D1144" t="s">
        <v>384</v>
      </c>
      <c r="G1144">
        <v>1</v>
      </c>
      <c r="H1144">
        <v>1</v>
      </c>
      <c r="I1144">
        <v>0</v>
      </c>
      <c r="K1144" s="9">
        <v>15</v>
      </c>
      <c r="L1144" s="1">
        <v>0</v>
      </c>
      <c r="M1144" s="1">
        <f t="shared" si="43"/>
        <v>15</v>
      </c>
      <c r="N1144" s="11">
        <f t="shared" si="44"/>
        <v>15</v>
      </c>
    </row>
    <row r="1145" spans="1:14" x14ac:dyDescent="0.2">
      <c r="A1145" s="12" t="s">
        <v>1058</v>
      </c>
      <c r="B1145" t="s">
        <v>976</v>
      </c>
      <c r="C1145" t="s">
        <v>1059</v>
      </c>
      <c r="D1145" t="s">
        <v>130</v>
      </c>
      <c r="G1145">
        <v>1</v>
      </c>
      <c r="H1145">
        <v>0</v>
      </c>
      <c r="I1145">
        <f>G1145</f>
        <v>1</v>
      </c>
      <c r="K1145" s="9">
        <f>-L114</f>
        <v>0</v>
      </c>
      <c r="L1145" s="1">
        <v>0</v>
      </c>
      <c r="M1145" s="1">
        <f t="shared" ref="M1145:M1208" si="45">K1145+L1145</f>
        <v>0</v>
      </c>
      <c r="N1145" s="11">
        <f t="shared" si="44"/>
        <v>0</v>
      </c>
    </row>
    <row r="1146" spans="1:14" x14ac:dyDescent="0.2">
      <c r="B1146" t="s">
        <v>386</v>
      </c>
      <c r="C1146" t="s">
        <v>1060</v>
      </c>
      <c r="D1146" t="s">
        <v>551</v>
      </c>
      <c r="G1146">
        <v>1</v>
      </c>
      <c r="H1146">
        <v>1</v>
      </c>
      <c r="I1146">
        <v>0</v>
      </c>
      <c r="K1146" s="9">
        <v>25</v>
      </c>
      <c r="L1146" s="1">
        <v>0</v>
      </c>
      <c r="M1146" s="1">
        <f t="shared" si="45"/>
        <v>25</v>
      </c>
      <c r="N1146" s="11">
        <f t="shared" si="44"/>
        <v>25</v>
      </c>
    </row>
    <row r="1147" spans="1:14" x14ac:dyDescent="0.2">
      <c r="B1147" t="s">
        <v>386</v>
      </c>
      <c r="C1147" t="s">
        <v>1061</v>
      </c>
      <c r="D1147" t="s">
        <v>551</v>
      </c>
      <c r="G1147">
        <v>1</v>
      </c>
      <c r="H1147">
        <v>1</v>
      </c>
      <c r="I1147">
        <v>0</v>
      </c>
      <c r="K1147" s="9">
        <v>25</v>
      </c>
      <c r="L1147" s="1">
        <v>0</v>
      </c>
      <c r="M1147" s="1">
        <f t="shared" si="45"/>
        <v>25</v>
      </c>
      <c r="N1147" s="11">
        <f t="shared" si="44"/>
        <v>25</v>
      </c>
    </row>
    <row r="1148" spans="1:14" x14ac:dyDescent="0.2">
      <c r="B1148" t="s">
        <v>386</v>
      </c>
      <c r="C1148" t="s">
        <v>1062</v>
      </c>
      <c r="D1148" t="s">
        <v>551</v>
      </c>
      <c r="G1148">
        <v>1</v>
      </c>
      <c r="H1148">
        <v>1</v>
      </c>
      <c r="I1148">
        <v>0</v>
      </c>
      <c r="K1148" s="9">
        <v>25</v>
      </c>
      <c r="L1148" s="1">
        <v>0</v>
      </c>
      <c r="M1148" s="1">
        <f t="shared" si="45"/>
        <v>25</v>
      </c>
      <c r="N1148" s="11">
        <f t="shared" si="44"/>
        <v>25</v>
      </c>
    </row>
    <row r="1149" spans="1:14" x14ac:dyDescent="0.2">
      <c r="B1149" t="s">
        <v>386</v>
      </c>
      <c r="C1149" t="s">
        <v>1063</v>
      </c>
      <c r="D1149" t="s">
        <v>388</v>
      </c>
      <c r="G1149">
        <v>1</v>
      </c>
      <c r="H1149">
        <v>1</v>
      </c>
      <c r="I1149">
        <v>0</v>
      </c>
      <c r="K1149" s="9">
        <v>25</v>
      </c>
      <c r="L1149" s="1">
        <v>0</v>
      </c>
      <c r="M1149" s="1">
        <f t="shared" si="45"/>
        <v>25</v>
      </c>
      <c r="N1149" s="11">
        <f t="shared" si="44"/>
        <v>25</v>
      </c>
    </row>
    <row r="1150" spans="1:14" x14ac:dyDescent="0.2">
      <c r="B1150" t="s">
        <v>386</v>
      </c>
      <c r="C1150" t="s">
        <v>1064</v>
      </c>
      <c r="D1150" t="s">
        <v>388</v>
      </c>
      <c r="G1150">
        <v>1</v>
      </c>
      <c r="H1150">
        <v>1</v>
      </c>
      <c r="I1150">
        <v>0</v>
      </c>
      <c r="K1150" s="9">
        <v>25</v>
      </c>
      <c r="L1150" s="1">
        <v>0</v>
      </c>
      <c r="M1150" s="1">
        <f t="shared" si="45"/>
        <v>25</v>
      </c>
      <c r="N1150" s="11">
        <f t="shared" si="44"/>
        <v>25</v>
      </c>
    </row>
    <row r="1151" spans="1:14" x14ac:dyDescent="0.2">
      <c r="B1151" t="s">
        <v>416</v>
      </c>
      <c r="C1151" t="s">
        <v>1065</v>
      </c>
      <c r="D1151" t="s">
        <v>97</v>
      </c>
      <c r="G1151">
        <v>3</v>
      </c>
      <c r="H1151">
        <v>2</v>
      </c>
      <c r="I1151">
        <v>1</v>
      </c>
      <c r="K1151" s="9">
        <v>35.090000000000003</v>
      </c>
      <c r="L1151" s="1">
        <v>0</v>
      </c>
      <c r="M1151" s="1">
        <f t="shared" si="45"/>
        <v>35.090000000000003</v>
      </c>
      <c r="N1151" s="11">
        <f t="shared" si="44"/>
        <v>105.27000000000001</v>
      </c>
    </row>
    <row r="1152" spans="1:14" x14ac:dyDescent="0.2">
      <c r="B1152" t="s">
        <v>422</v>
      </c>
      <c r="C1152" t="s">
        <v>1065</v>
      </c>
      <c r="D1152" t="s">
        <v>91</v>
      </c>
      <c r="G1152">
        <v>1</v>
      </c>
      <c r="H1152">
        <v>1</v>
      </c>
      <c r="I1152">
        <v>0</v>
      </c>
      <c r="K1152" s="9">
        <v>35.090000000000003</v>
      </c>
      <c r="L1152" s="1">
        <v>0</v>
      </c>
      <c r="M1152" s="1">
        <f t="shared" si="45"/>
        <v>35.090000000000003</v>
      </c>
      <c r="N1152" s="11">
        <f t="shared" si="44"/>
        <v>35.090000000000003</v>
      </c>
    </row>
    <row r="1153" spans="2:21" x14ac:dyDescent="0.2">
      <c r="B1153" t="s">
        <v>1025</v>
      </c>
      <c r="C1153" t="s">
        <v>1066</v>
      </c>
      <c r="D1153" t="s">
        <v>34</v>
      </c>
      <c r="G1153">
        <v>3</v>
      </c>
      <c r="H1153">
        <v>2</v>
      </c>
      <c r="I1153">
        <v>1</v>
      </c>
      <c r="K1153" s="9">
        <v>17.12</v>
      </c>
      <c r="L1153" s="1">
        <v>3</v>
      </c>
      <c r="M1153" s="1">
        <f t="shared" si="45"/>
        <v>20.12</v>
      </c>
      <c r="N1153" s="11">
        <f t="shared" si="44"/>
        <v>51.36</v>
      </c>
    </row>
    <row r="1154" spans="2:21" x14ac:dyDescent="0.2">
      <c r="B1154" t="s">
        <v>422</v>
      </c>
      <c r="C1154" t="s">
        <v>1066</v>
      </c>
      <c r="D1154" t="s">
        <v>95</v>
      </c>
      <c r="G1154">
        <v>1</v>
      </c>
      <c r="H1154">
        <v>1</v>
      </c>
      <c r="I1154">
        <v>0</v>
      </c>
      <c r="K1154" s="9">
        <v>17.12</v>
      </c>
      <c r="L1154" s="1">
        <v>3</v>
      </c>
      <c r="M1154" s="1">
        <f t="shared" si="45"/>
        <v>20.12</v>
      </c>
      <c r="N1154" s="11">
        <f t="shared" si="44"/>
        <v>17.12</v>
      </c>
    </row>
    <row r="1155" spans="2:21" x14ac:dyDescent="0.2">
      <c r="B1155" t="s">
        <v>422</v>
      </c>
      <c r="C1155" t="s">
        <v>1067</v>
      </c>
      <c r="D1155" t="s">
        <v>95</v>
      </c>
      <c r="G1155">
        <v>1</v>
      </c>
      <c r="H1155">
        <v>1</v>
      </c>
      <c r="I1155">
        <v>0</v>
      </c>
      <c r="K1155" s="9">
        <v>21.96</v>
      </c>
      <c r="L1155" s="1">
        <v>3</v>
      </c>
      <c r="M1155" s="1">
        <f t="shared" si="45"/>
        <v>24.96</v>
      </c>
      <c r="N1155" s="11">
        <f t="shared" ref="N1155:N1218" si="46">G1155*K1155</f>
        <v>21.96</v>
      </c>
    </row>
    <row r="1156" spans="2:21" x14ac:dyDescent="0.2">
      <c r="B1156" t="s">
        <v>416</v>
      </c>
      <c r="C1156" t="s">
        <v>1068</v>
      </c>
      <c r="D1156" t="s">
        <v>97</v>
      </c>
      <c r="G1156">
        <v>1</v>
      </c>
      <c r="H1156">
        <v>1</v>
      </c>
      <c r="I1156">
        <v>0</v>
      </c>
      <c r="K1156" s="9">
        <v>38.229999999999997</v>
      </c>
      <c r="L1156" s="1">
        <v>3</v>
      </c>
      <c r="M1156" s="1">
        <f t="shared" si="45"/>
        <v>41.23</v>
      </c>
      <c r="N1156" s="11">
        <f t="shared" si="46"/>
        <v>38.229999999999997</v>
      </c>
    </row>
    <row r="1157" spans="2:21" ht="14" customHeight="1" x14ac:dyDescent="0.2">
      <c r="B1157" t="s">
        <v>285</v>
      </c>
      <c r="C1157" t="s">
        <v>1069</v>
      </c>
      <c r="D1157" t="s">
        <v>95</v>
      </c>
      <c r="E1157" s="11"/>
      <c r="F1157" s="9"/>
      <c r="G1157" s="10">
        <v>3</v>
      </c>
      <c r="H1157" s="10">
        <v>3</v>
      </c>
      <c r="I1157">
        <v>0</v>
      </c>
      <c r="J1157" s="9"/>
      <c r="K1157" s="9">
        <v>12.85</v>
      </c>
      <c r="L1157" s="9">
        <v>0</v>
      </c>
      <c r="M1157" s="1">
        <f t="shared" si="45"/>
        <v>12.85</v>
      </c>
      <c r="N1157" s="11">
        <f t="shared" si="46"/>
        <v>38.549999999999997</v>
      </c>
      <c r="O1157" s="9"/>
      <c r="P1157" s="9"/>
      <c r="Q1157" s="9"/>
      <c r="R1157" s="9"/>
      <c r="S1157" s="9"/>
      <c r="T1157" s="9"/>
      <c r="U1157" s="9"/>
    </row>
    <row r="1158" spans="2:21" ht="14" customHeight="1" x14ac:dyDescent="0.2">
      <c r="B1158" t="s">
        <v>282</v>
      </c>
      <c r="C1158" t="s">
        <v>1069</v>
      </c>
      <c r="D1158" t="s">
        <v>97</v>
      </c>
      <c r="E1158" s="11"/>
      <c r="F1158" s="9"/>
      <c r="G1158" s="10">
        <v>1</v>
      </c>
      <c r="H1158" s="10">
        <v>1</v>
      </c>
      <c r="I1158">
        <v>0</v>
      </c>
      <c r="J1158" s="9"/>
      <c r="K1158" s="9">
        <v>12.85</v>
      </c>
      <c r="L1158" s="9">
        <v>0</v>
      </c>
      <c r="M1158" s="1">
        <f t="shared" si="45"/>
        <v>12.85</v>
      </c>
      <c r="N1158" s="11">
        <f t="shared" si="46"/>
        <v>12.85</v>
      </c>
      <c r="O1158" s="9"/>
      <c r="P1158" s="9"/>
      <c r="Q1158" s="9"/>
      <c r="R1158" s="9"/>
      <c r="S1158" s="9"/>
      <c r="T1158" s="9"/>
      <c r="U1158" s="9"/>
    </row>
    <row r="1159" spans="2:21" ht="14" customHeight="1" x14ac:dyDescent="0.2">
      <c r="B1159" t="s">
        <v>277</v>
      </c>
      <c r="C1159" t="s">
        <v>1069</v>
      </c>
      <c r="D1159" t="s">
        <v>34</v>
      </c>
      <c r="E1159" s="11"/>
      <c r="F1159" s="9"/>
      <c r="G1159" s="10">
        <v>1</v>
      </c>
      <c r="H1159" s="10">
        <v>1</v>
      </c>
      <c r="I1159">
        <v>0</v>
      </c>
      <c r="J1159" s="9"/>
      <c r="K1159" s="9">
        <v>12.85</v>
      </c>
      <c r="L1159" s="9">
        <v>0</v>
      </c>
      <c r="M1159" s="1">
        <f t="shared" si="45"/>
        <v>12.85</v>
      </c>
      <c r="N1159" s="11">
        <f t="shared" si="46"/>
        <v>12.85</v>
      </c>
      <c r="O1159" s="9"/>
      <c r="P1159" s="9"/>
      <c r="Q1159" s="9"/>
      <c r="R1159" s="9"/>
      <c r="S1159" s="9"/>
      <c r="T1159" s="9"/>
      <c r="U1159" s="9"/>
    </row>
    <row r="1160" spans="2:21" ht="14" customHeight="1" x14ac:dyDescent="0.2">
      <c r="B1160" t="s">
        <v>285</v>
      </c>
      <c r="C1160" t="s">
        <v>1070</v>
      </c>
      <c r="D1160" t="s">
        <v>91</v>
      </c>
      <c r="E1160" s="11"/>
      <c r="F1160" s="9"/>
      <c r="G1160" s="10">
        <v>1</v>
      </c>
      <c r="H1160" s="10">
        <v>1</v>
      </c>
      <c r="I1160">
        <v>0</v>
      </c>
      <c r="J1160" s="9"/>
      <c r="K1160" s="9">
        <v>12.85</v>
      </c>
      <c r="L1160" s="9">
        <v>0</v>
      </c>
      <c r="M1160" s="1">
        <f t="shared" si="45"/>
        <v>12.85</v>
      </c>
      <c r="N1160" s="11">
        <f t="shared" si="46"/>
        <v>12.85</v>
      </c>
      <c r="O1160" s="9"/>
      <c r="P1160" s="9"/>
      <c r="Q1160" s="9"/>
      <c r="R1160" s="9"/>
      <c r="S1160" s="9"/>
      <c r="T1160" s="9"/>
      <c r="U1160" s="9"/>
    </row>
    <row r="1161" spans="2:21" ht="14" customHeight="1" x14ac:dyDescent="0.2">
      <c r="B1161" t="s">
        <v>285</v>
      </c>
      <c r="C1161" t="s">
        <v>1071</v>
      </c>
      <c r="D1161" t="s">
        <v>91</v>
      </c>
      <c r="E1161" s="11"/>
      <c r="F1161" s="9"/>
      <c r="G1161" s="10">
        <v>1</v>
      </c>
      <c r="H1161" s="10">
        <v>1</v>
      </c>
      <c r="I1161">
        <v>0</v>
      </c>
      <c r="J1161" s="9"/>
      <c r="K1161" s="9">
        <v>12.85</v>
      </c>
      <c r="L1161" s="9">
        <v>0</v>
      </c>
      <c r="M1161" s="1">
        <f t="shared" si="45"/>
        <v>12.85</v>
      </c>
      <c r="N1161" s="11">
        <f t="shared" si="46"/>
        <v>12.85</v>
      </c>
      <c r="O1161" s="9"/>
      <c r="P1161" s="9"/>
      <c r="Q1161" s="9"/>
      <c r="R1161" s="9"/>
      <c r="S1161" s="9"/>
      <c r="T1161" s="9"/>
      <c r="U1161" s="9"/>
    </row>
    <row r="1162" spans="2:21" ht="14" customHeight="1" x14ac:dyDescent="0.2">
      <c r="B1162" t="s">
        <v>285</v>
      </c>
      <c r="C1162" t="s">
        <v>1072</v>
      </c>
      <c r="D1162" t="s">
        <v>91</v>
      </c>
      <c r="E1162" s="11"/>
      <c r="F1162" s="9"/>
      <c r="G1162" s="10">
        <v>1</v>
      </c>
      <c r="H1162" s="10">
        <v>1</v>
      </c>
      <c r="I1162">
        <v>0</v>
      </c>
      <c r="J1162" s="9"/>
      <c r="K1162" s="9">
        <v>12.85</v>
      </c>
      <c r="L1162" s="9">
        <v>0</v>
      </c>
      <c r="M1162" s="1">
        <f t="shared" si="45"/>
        <v>12.85</v>
      </c>
      <c r="N1162" s="11">
        <f t="shared" si="46"/>
        <v>12.85</v>
      </c>
      <c r="O1162" s="9"/>
      <c r="P1162" s="9"/>
      <c r="Q1162" s="9"/>
      <c r="R1162" s="9"/>
      <c r="S1162" s="9"/>
      <c r="T1162" s="9"/>
      <c r="U1162" s="9"/>
    </row>
    <row r="1163" spans="2:21" ht="14" customHeight="1" x14ac:dyDescent="0.2">
      <c r="B1163" t="s">
        <v>285</v>
      </c>
      <c r="C1163" t="s">
        <v>1073</v>
      </c>
      <c r="D1163" t="s">
        <v>95</v>
      </c>
      <c r="E1163" s="11"/>
      <c r="F1163" s="9"/>
      <c r="G1163" s="10">
        <v>1</v>
      </c>
      <c r="H1163" s="10">
        <v>1</v>
      </c>
      <c r="I1163">
        <v>0</v>
      </c>
      <c r="J1163" s="9"/>
      <c r="K1163" s="9">
        <v>12.85</v>
      </c>
      <c r="L1163" s="9">
        <v>0</v>
      </c>
      <c r="M1163" s="1">
        <f t="shared" si="45"/>
        <v>12.85</v>
      </c>
      <c r="N1163" s="11">
        <f t="shared" si="46"/>
        <v>12.85</v>
      </c>
      <c r="O1163" s="9"/>
      <c r="P1163" s="9"/>
      <c r="Q1163" s="9"/>
      <c r="R1163" s="9"/>
      <c r="S1163" s="9"/>
      <c r="T1163" s="9"/>
      <c r="U1163" s="9"/>
    </row>
    <row r="1164" spans="2:21" ht="14" customHeight="1" x14ac:dyDescent="0.2">
      <c r="B1164" t="s">
        <v>277</v>
      </c>
      <c r="C1164" t="s">
        <v>1074</v>
      </c>
      <c r="D1164" t="s">
        <v>34</v>
      </c>
      <c r="E1164" s="11"/>
      <c r="F1164" s="9"/>
      <c r="G1164" s="10">
        <v>1</v>
      </c>
      <c r="H1164" s="10">
        <v>1</v>
      </c>
      <c r="I1164">
        <v>0</v>
      </c>
      <c r="J1164" s="9"/>
      <c r="K1164" s="9">
        <v>12.85</v>
      </c>
      <c r="L1164" s="9">
        <v>0</v>
      </c>
      <c r="M1164" s="1">
        <f t="shared" si="45"/>
        <v>12.85</v>
      </c>
      <c r="N1164" s="11">
        <f t="shared" si="46"/>
        <v>12.85</v>
      </c>
      <c r="O1164" s="9"/>
      <c r="P1164" s="9"/>
      <c r="Q1164" s="9"/>
      <c r="R1164" s="9"/>
      <c r="S1164" s="9"/>
      <c r="T1164" s="9"/>
      <c r="U1164" s="9"/>
    </row>
    <row r="1165" spans="2:21" ht="14" customHeight="1" x14ac:dyDescent="0.2">
      <c r="B1165" t="s">
        <v>285</v>
      </c>
      <c r="C1165" t="s">
        <v>1075</v>
      </c>
      <c r="D1165" t="s">
        <v>91</v>
      </c>
      <c r="E1165" s="11"/>
      <c r="F1165" s="9"/>
      <c r="G1165" s="10">
        <v>1</v>
      </c>
      <c r="H1165" s="10">
        <v>1</v>
      </c>
      <c r="I1165">
        <v>0</v>
      </c>
      <c r="J1165" s="9"/>
      <c r="K1165" s="9">
        <v>12.85</v>
      </c>
      <c r="L1165" s="9">
        <v>0</v>
      </c>
      <c r="M1165" s="1">
        <f t="shared" si="45"/>
        <v>12.85</v>
      </c>
      <c r="N1165" s="11">
        <f t="shared" si="46"/>
        <v>12.85</v>
      </c>
      <c r="O1165" s="9"/>
      <c r="P1165" s="9"/>
      <c r="Q1165" s="9"/>
      <c r="R1165" s="9"/>
      <c r="S1165" s="9"/>
      <c r="T1165" s="9"/>
      <c r="U1165" s="9"/>
    </row>
    <row r="1166" spans="2:21" ht="14" customHeight="1" x14ac:dyDescent="0.2">
      <c r="B1166" t="s">
        <v>285</v>
      </c>
      <c r="C1166" t="s">
        <v>1076</v>
      </c>
      <c r="D1166" t="s">
        <v>91</v>
      </c>
      <c r="E1166" s="11"/>
      <c r="F1166" s="9"/>
      <c r="G1166" s="10">
        <v>1</v>
      </c>
      <c r="H1166" s="10">
        <v>1</v>
      </c>
      <c r="I1166">
        <v>0</v>
      </c>
      <c r="J1166" s="9"/>
      <c r="K1166" s="9">
        <v>12.85</v>
      </c>
      <c r="L1166" s="9">
        <v>0</v>
      </c>
      <c r="M1166" s="1">
        <f t="shared" si="45"/>
        <v>12.85</v>
      </c>
      <c r="N1166" s="11">
        <f t="shared" si="46"/>
        <v>12.85</v>
      </c>
      <c r="O1166" s="9"/>
      <c r="P1166" s="9"/>
      <c r="Q1166" s="9"/>
      <c r="R1166" s="9"/>
      <c r="S1166" s="9"/>
      <c r="T1166" s="9"/>
      <c r="U1166" s="9"/>
    </row>
    <row r="1167" spans="2:21" ht="14" customHeight="1" x14ac:dyDescent="0.2">
      <c r="B1167" t="s">
        <v>285</v>
      </c>
      <c r="C1167" t="s">
        <v>1077</v>
      </c>
      <c r="D1167" t="s">
        <v>91</v>
      </c>
      <c r="E1167" s="11"/>
      <c r="F1167" s="9"/>
      <c r="G1167" s="10">
        <v>1</v>
      </c>
      <c r="H1167" s="10">
        <v>1</v>
      </c>
      <c r="I1167">
        <v>0</v>
      </c>
      <c r="J1167" s="9"/>
      <c r="K1167" s="9">
        <v>12.85</v>
      </c>
      <c r="L1167" s="9">
        <v>0</v>
      </c>
      <c r="M1167" s="1">
        <f t="shared" si="45"/>
        <v>12.85</v>
      </c>
      <c r="N1167" s="11">
        <f t="shared" si="46"/>
        <v>12.85</v>
      </c>
      <c r="O1167" s="9"/>
      <c r="P1167" s="9"/>
      <c r="Q1167" s="9"/>
      <c r="R1167" s="9"/>
      <c r="S1167" s="9"/>
      <c r="T1167" s="9"/>
      <c r="U1167" s="9"/>
    </row>
    <row r="1168" spans="2:21" ht="14" customHeight="1" x14ac:dyDescent="0.2">
      <c r="B1168" t="s">
        <v>90</v>
      </c>
      <c r="C1168" t="s">
        <v>1078</v>
      </c>
      <c r="D1168" t="s">
        <v>95</v>
      </c>
      <c r="E1168" s="11"/>
      <c r="F1168" s="9"/>
      <c r="G1168" s="10">
        <v>1</v>
      </c>
      <c r="H1168" s="10">
        <v>1</v>
      </c>
      <c r="I1168">
        <v>0</v>
      </c>
      <c r="J1168" s="9"/>
      <c r="K1168" s="9">
        <v>25</v>
      </c>
      <c r="L1168" s="9">
        <v>0</v>
      </c>
      <c r="M1168" s="1">
        <f t="shared" si="45"/>
        <v>25</v>
      </c>
      <c r="N1168" s="11">
        <f t="shared" si="46"/>
        <v>25</v>
      </c>
      <c r="O1168" s="9"/>
      <c r="P1168" s="9"/>
      <c r="Q1168" s="9"/>
      <c r="R1168" s="9"/>
      <c r="S1168" s="9"/>
      <c r="T1168" s="9"/>
      <c r="U1168" s="9"/>
    </row>
    <row r="1169" spans="2:21" ht="14" customHeight="1" x14ac:dyDescent="0.2">
      <c r="B1169" t="s">
        <v>689</v>
      </c>
      <c r="C1169" t="s">
        <v>1079</v>
      </c>
      <c r="D1169" t="s">
        <v>91</v>
      </c>
      <c r="E1169" s="11"/>
      <c r="F1169" s="9"/>
      <c r="G1169" s="10">
        <v>1</v>
      </c>
      <c r="H1169" s="10">
        <v>1</v>
      </c>
      <c r="I1169">
        <v>0</v>
      </c>
      <c r="J1169" s="9"/>
      <c r="K1169" s="9">
        <v>25</v>
      </c>
      <c r="L1169" s="9">
        <v>0</v>
      </c>
      <c r="M1169" s="1">
        <f t="shared" si="45"/>
        <v>25</v>
      </c>
      <c r="N1169" s="11">
        <f t="shared" si="46"/>
        <v>25</v>
      </c>
      <c r="O1169" s="9"/>
      <c r="P1169" s="9"/>
      <c r="Q1169" s="9"/>
      <c r="R1169" s="9"/>
      <c r="S1169" s="9"/>
      <c r="T1169" s="9"/>
      <c r="U1169" s="9"/>
    </row>
    <row r="1170" spans="2:21" ht="14" customHeight="1" x14ac:dyDescent="0.2">
      <c r="B1170" t="s">
        <v>689</v>
      </c>
      <c r="C1170" t="s">
        <v>1080</v>
      </c>
      <c r="D1170" t="s">
        <v>91</v>
      </c>
      <c r="E1170" s="11"/>
      <c r="F1170" s="9"/>
      <c r="G1170" s="10">
        <v>1</v>
      </c>
      <c r="H1170" s="10">
        <v>1</v>
      </c>
      <c r="I1170">
        <v>0</v>
      </c>
      <c r="J1170" s="9"/>
      <c r="K1170" s="9">
        <v>25</v>
      </c>
      <c r="L1170" s="9">
        <v>0</v>
      </c>
      <c r="M1170" s="1">
        <f t="shared" si="45"/>
        <v>25</v>
      </c>
      <c r="N1170" s="11">
        <f t="shared" si="46"/>
        <v>25</v>
      </c>
      <c r="O1170" s="9"/>
      <c r="P1170" s="9"/>
      <c r="Q1170" s="9"/>
      <c r="R1170" s="9"/>
      <c r="S1170" s="9"/>
      <c r="T1170" s="9"/>
      <c r="U1170" s="9"/>
    </row>
    <row r="1171" spans="2:21" ht="14" customHeight="1" x14ac:dyDescent="0.2">
      <c r="B1171" t="s">
        <v>689</v>
      </c>
      <c r="C1171" t="s">
        <v>1081</v>
      </c>
      <c r="D1171" t="s">
        <v>95</v>
      </c>
      <c r="E1171" s="11"/>
      <c r="F1171" s="9"/>
      <c r="G1171" s="10">
        <v>1</v>
      </c>
      <c r="H1171" s="10">
        <v>1</v>
      </c>
      <c r="I1171">
        <v>0</v>
      </c>
      <c r="J1171" s="9"/>
      <c r="K1171" s="9">
        <v>25</v>
      </c>
      <c r="L1171" s="9">
        <v>0</v>
      </c>
      <c r="M1171" s="1">
        <f t="shared" si="45"/>
        <v>25</v>
      </c>
      <c r="N1171" s="11">
        <f t="shared" si="46"/>
        <v>25</v>
      </c>
      <c r="O1171" s="9"/>
      <c r="P1171" s="9"/>
      <c r="Q1171" s="9"/>
      <c r="R1171" s="9"/>
      <c r="S1171" s="9"/>
      <c r="T1171" s="9"/>
      <c r="U1171" s="9"/>
    </row>
    <row r="1172" spans="2:21" x14ac:dyDescent="0.2">
      <c r="B1172" t="s">
        <v>962</v>
      </c>
      <c r="C1172" t="s">
        <v>1082</v>
      </c>
      <c r="D1172" t="s">
        <v>97</v>
      </c>
      <c r="E1172" s="11"/>
      <c r="F1172" s="9"/>
      <c r="G1172" s="10">
        <v>1</v>
      </c>
      <c r="H1172" s="10">
        <v>1</v>
      </c>
      <c r="I1172">
        <v>0</v>
      </c>
      <c r="J1172" s="9"/>
      <c r="K1172" s="9">
        <v>25</v>
      </c>
      <c r="L1172" s="9">
        <v>0</v>
      </c>
      <c r="M1172" s="1">
        <f t="shared" si="45"/>
        <v>25</v>
      </c>
      <c r="N1172" s="11">
        <f t="shared" si="46"/>
        <v>25</v>
      </c>
      <c r="O1172" s="9"/>
      <c r="P1172" s="9"/>
      <c r="Q1172" s="9"/>
      <c r="R1172" s="9"/>
      <c r="S1172" s="9"/>
      <c r="T1172" s="9"/>
      <c r="U1172" s="9"/>
    </row>
    <row r="1173" spans="2:21" x14ac:dyDescent="0.2">
      <c r="B1173" t="s">
        <v>689</v>
      </c>
      <c r="C1173" t="s">
        <v>1083</v>
      </c>
      <c r="D1173" t="s">
        <v>91</v>
      </c>
      <c r="E1173" s="11"/>
      <c r="F1173" s="9"/>
      <c r="G1173" s="10">
        <v>1</v>
      </c>
      <c r="H1173" s="10">
        <v>1</v>
      </c>
      <c r="I1173">
        <v>0</v>
      </c>
      <c r="J1173" s="9"/>
      <c r="K1173" s="9">
        <v>25</v>
      </c>
      <c r="L1173" s="9">
        <v>0</v>
      </c>
      <c r="M1173" s="1">
        <f t="shared" si="45"/>
        <v>25</v>
      </c>
      <c r="N1173" s="11">
        <f t="shared" si="46"/>
        <v>25</v>
      </c>
      <c r="O1173" s="9"/>
      <c r="P1173" s="9"/>
      <c r="Q1173" s="9"/>
      <c r="R1173" s="9"/>
      <c r="S1173" s="9"/>
      <c r="T1173" s="9"/>
      <c r="U1173" s="9"/>
    </row>
    <row r="1174" spans="2:21" x14ac:dyDescent="0.2">
      <c r="B1174" t="s">
        <v>689</v>
      </c>
      <c r="C1174" t="s">
        <v>1084</v>
      </c>
      <c r="D1174" t="s">
        <v>91</v>
      </c>
      <c r="E1174" s="11"/>
      <c r="F1174" s="9"/>
      <c r="G1174" s="10">
        <v>2</v>
      </c>
      <c r="H1174" s="10">
        <v>2</v>
      </c>
      <c r="I1174">
        <v>0</v>
      </c>
      <c r="J1174" s="9"/>
      <c r="K1174" s="9">
        <v>25</v>
      </c>
      <c r="L1174" s="9">
        <v>0</v>
      </c>
      <c r="M1174" s="1">
        <f t="shared" si="45"/>
        <v>25</v>
      </c>
      <c r="N1174" s="11">
        <f t="shared" si="46"/>
        <v>50</v>
      </c>
      <c r="O1174" s="9"/>
      <c r="P1174" s="9"/>
      <c r="Q1174" s="9"/>
      <c r="R1174" s="9"/>
      <c r="S1174" s="9"/>
      <c r="T1174" s="9"/>
      <c r="U1174" s="9"/>
    </row>
    <row r="1175" spans="2:21" x14ac:dyDescent="0.2">
      <c r="B1175" t="s">
        <v>1085</v>
      </c>
      <c r="C1175" t="s">
        <v>1086</v>
      </c>
      <c r="D1175" t="s">
        <v>34</v>
      </c>
      <c r="E1175" s="11"/>
      <c r="F1175" s="9"/>
      <c r="G1175" s="10">
        <v>1</v>
      </c>
      <c r="H1175" s="10">
        <v>1</v>
      </c>
      <c r="I1175">
        <v>0</v>
      </c>
      <c r="J1175" s="9"/>
      <c r="K1175" s="9">
        <v>25</v>
      </c>
      <c r="L1175" s="9">
        <v>0</v>
      </c>
      <c r="M1175" s="1">
        <f t="shared" si="45"/>
        <v>25</v>
      </c>
      <c r="N1175" s="11">
        <f t="shared" si="46"/>
        <v>25</v>
      </c>
      <c r="O1175" s="9"/>
      <c r="P1175" s="9"/>
      <c r="Q1175" s="9"/>
      <c r="R1175" s="9"/>
      <c r="S1175" s="9"/>
      <c r="T1175" s="9"/>
      <c r="U1175" s="9"/>
    </row>
    <row r="1176" spans="2:21" x14ac:dyDescent="0.2">
      <c r="B1176" t="s">
        <v>962</v>
      </c>
      <c r="C1176" t="s">
        <v>1087</v>
      </c>
      <c r="D1176" t="s">
        <v>97</v>
      </c>
      <c r="E1176" s="11"/>
      <c r="F1176" s="9"/>
      <c r="G1176" s="10">
        <v>1</v>
      </c>
      <c r="H1176" s="10">
        <v>1</v>
      </c>
      <c r="I1176">
        <v>0</v>
      </c>
      <c r="J1176" s="9"/>
      <c r="K1176" s="9">
        <v>25</v>
      </c>
      <c r="L1176" s="9">
        <v>0</v>
      </c>
      <c r="M1176" s="1">
        <f t="shared" si="45"/>
        <v>25</v>
      </c>
      <c r="N1176" s="11">
        <f t="shared" si="46"/>
        <v>25</v>
      </c>
      <c r="O1176" s="9"/>
      <c r="P1176" s="9"/>
      <c r="Q1176" s="9"/>
      <c r="R1176" s="9"/>
      <c r="S1176" s="9"/>
      <c r="T1176" s="9"/>
      <c r="U1176" s="9"/>
    </row>
    <row r="1177" spans="2:21" x14ac:dyDescent="0.2">
      <c r="B1177" t="s">
        <v>962</v>
      </c>
      <c r="C1177" t="s">
        <v>1088</v>
      </c>
      <c r="D1177" t="s">
        <v>97</v>
      </c>
      <c r="E1177" s="11"/>
      <c r="F1177" s="9"/>
      <c r="G1177" s="10">
        <v>1</v>
      </c>
      <c r="H1177" s="10">
        <v>1</v>
      </c>
      <c r="I1177">
        <v>0</v>
      </c>
      <c r="J1177" s="9"/>
      <c r="K1177" s="9">
        <v>25</v>
      </c>
      <c r="L1177" s="9">
        <v>0</v>
      </c>
      <c r="M1177" s="1">
        <f t="shared" si="45"/>
        <v>25</v>
      </c>
      <c r="N1177" s="11">
        <f t="shared" si="46"/>
        <v>25</v>
      </c>
      <c r="O1177" s="9"/>
      <c r="P1177" s="9"/>
      <c r="Q1177" s="9"/>
      <c r="R1177" s="9"/>
      <c r="S1177" s="9"/>
      <c r="T1177" s="9"/>
      <c r="U1177" s="9"/>
    </row>
    <row r="1178" spans="2:21" x14ac:dyDescent="0.2">
      <c r="B1178" t="s">
        <v>1001</v>
      </c>
      <c r="C1178" t="s">
        <v>1089</v>
      </c>
      <c r="D1178" t="s">
        <v>91</v>
      </c>
      <c r="E1178" s="11"/>
      <c r="F1178" s="9"/>
      <c r="G1178" s="10">
        <v>1</v>
      </c>
      <c r="H1178" s="10">
        <v>1</v>
      </c>
      <c r="I1178">
        <v>0</v>
      </c>
      <c r="J1178" s="9"/>
      <c r="K1178" s="9">
        <v>25</v>
      </c>
      <c r="L1178" s="9">
        <v>0</v>
      </c>
      <c r="M1178" s="1">
        <f t="shared" si="45"/>
        <v>25</v>
      </c>
      <c r="N1178" s="11">
        <f t="shared" si="46"/>
        <v>25</v>
      </c>
      <c r="O1178" s="9"/>
      <c r="P1178" s="9"/>
      <c r="Q1178" s="9"/>
      <c r="R1178" s="9"/>
      <c r="S1178" s="9"/>
      <c r="T1178" s="9"/>
      <c r="U1178" s="9"/>
    </row>
    <row r="1179" spans="2:21" x14ac:dyDescent="0.2">
      <c r="B1179" t="s">
        <v>1090</v>
      </c>
      <c r="C1179" t="s">
        <v>1091</v>
      </c>
      <c r="D1179" t="s">
        <v>17</v>
      </c>
      <c r="E1179" s="11"/>
      <c r="F1179" s="9"/>
      <c r="G1179" s="10">
        <v>1</v>
      </c>
      <c r="H1179" s="10">
        <v>1</v>
      </c>
      <c r="I1179">
        <v>0</v>
      </c>
      <c r="J1179" s="9"/>
      <c r="K1179" s="9">
        <v>25</v>
      </c>
      <c r="L1179" s="9">
        <v>0</v>
      </c>
      <c r="M1179" s="1">
        <f t="shared" si="45"/>
        <v>25</v>
      </c>
      <c r="N1179" s="11">
        <f t="shared" si="46"/>
        <v>25</v>
      </c>
      <c r="O1179" s="9"/>
      <c r="P1179" s="9"/>
      <c r="Q1179" s="9"/>
      <c r="R1179" s="9"/>
      <c r="S1179" s="9"/>
      <c r="T1179" s="9"/>
      <c r="U1179" s="9"/>
    </row>
    <row r="1180" spans="2:21" x14ac:dyDescent="0.2">
      <c r="B1180" t="s">
        <v>1090</v>
      </c>
      <c r="C1180" t="s">
        <v>1092</v>
      </c>
      <c r="D1180" t="s">
        <v>34</v>
      </c>
      <c r="E1180" s="11"/>
      <c r="F1180" s="9"/>
      <c r="G1180" s="10">
        <v>1</v>
      </c>
      <c r="H1180" s="10">
        <v>1</v>
      </c>
      <c r="I1180">
        <v>0</v>
      </c>
      <c r="J1180" s="9"/>
      <c r="K1180" s="9">
        <v>25</v>
      </c>
      <c r="L1180" s="9">
        <v>0</v>
      </c>
      <c r="M1180" s="1">
        <f t="shared" si="45"/>
        <v>25</v>
      </c>
      <c r="N1180" s="11">
        <f t="shared" si="46"/>
        <v>25</v>
      </c>
      <c r="O1180" s="9"/>
      <c r="P1180" s="9"/>
      <c r="Q1180" s="9"/>
      <c r="R1180" s="9"/>
      <c r="S1180" s="9"/>
      <c r="T1180" s="9"/>
      <c r="U1180" s="9"/>
    </row>
    <row r="1181" spans="2:21" x14ac:dyDescent="0.2">
      <c r="B1181" t="s">
        <v>1027</v>
      </c>
      <c r="C1181" t="s">
        <v>1093</v>
      </c>
      <c r="D1181" t="s">
        <v>27</v>
      </c>
      <c r="E1181" s="11"/>
      <c r="F1181" s="9"/>
      <c r="G1181" s="10">
        <v>1</v>
      </c>
      <c r="H1181" s="10">
        <v>1</v>
      </c>
      <c r="I1181">
        <v>0</v>
      </c>
      <c r="J1181" s="9"/>
      <c r="K1181" s="9">
        <v>25</v>
      </c>
      <c r="L1181" s="9">
        <v>0</v>
      </c>
      <c r="M1181" s="1">
        <f t="shared" si="45"/>
        <v>25</v>
      </c>
      <c r="N1181" s="11">
        <f t="shared" si="46"/>
        <v>25</v>
      </c>
      <c r="O1181" s="9"/>
      <c r="P1181" s="9"/>
      <c r="Q1181" s="9"/>
      <c r="R1181" s="9"/>
      <c r="S1181" s="9"/>
      <c r="T1181" s="9"/>
      <c r="U1181" s="9"/>
    </row>
    <row r="1182" spans="2:21" x14ac:dyDescent="0.2">
      <c r="B1182" t="s">
        <v>1001</v>
      </c>
      <c r="C1182" t="s">
        <v>1094</v>
      </c>
      <c r="D1182" t="s">
        <v>97</v>
      </c>
      <c r="E1182" s="11"/>
      <c r="F1182" s="9"/>
      <c r="G1182" s="10">
        <v>1</v>
      </c>
      <c r="H1182" s="10">
        <v>1</v>
      </c>
      <c r="I1182">
        <v>0</v>
      </c>
      <c r="J1182" s="9"/>
      <c r="K1182" s="9">
        <v>25</v>
      </c>
      <c r="L1182" s="9">
        <v>0</v>
      </c>
      <c r="M1182" s="1">
        <f t="shared" si="45"/>
        <v>25</v>
      </c>
      <c r="N1182" s="11">
        <f t="shared" si="46"/>
        <v>25</v>
      </c>
      <c r="O1182" s="9"/>
      <c r="P1182" s="9"/>
      <c r="Q1182" s="9"/>
      <c r="R1182" s="9"/>
      <c r="S1182" s="9"/>
      <c r="T1182" s="9"/>
      <c r="U1182" s="9"/>
    </row>
    <row r="1183" spans="2:21" x14ac:dyDescent="0.2">
      <c r="B1183" t="s">
        <v>90</v>
      </c>
      <c r="C1183" t="s">
        <v>825</v>
      </c>
      <c r="D1183" t="s">
        <v>91</v>
      </c>
      <c r="G1183">
        <v>1</v>
      </c>
      <c r="H1183">
        <v>1</v>
      </c>
      <c r="I1183">
        <v>0</v>
      </c>
      <c r="K1183" s="9">
        <v>10</v>
      </c>
      <c r="L1183" s="9">
        <v>0</v>
      </c>
      <c r="M1183" s="1">
        <f t="shared" si="45"/>
        <v>10</v>
      </c>
      <c r="N1183" s="11">
        <f t="shared" si="46"/>
        <v>10</v>
      </c>
    </row>
    <row r="1184" spans="2:21" x14ac:dyDescent="0.2">
      <c r="B1184" t="s">
        <v>90</v>
      </c>
      <c r="C1184" t="s">
        <v>825</v>
      </c>
      <c r="D1184" t="s">
        <v>95</v>
      </c>
      <c r="G1184">
        <v>1</v>
      </c>
      <c r="H1184">
        <v>1</v>
      </c>
      <c r="I1184">
        <v>0</v>
      </c>
      <c r="K1184" s="9">
        <v>10</v>
      </c>
      <c r="L1184" s="9">
        <v>0</v>
      </c>
      <c r="M1184" s="1">
        <f t="shared" si="45"/>
        <v>10</v>
      </c>
      <c r="N1184" s="11">
        <f t="shared" si="46"/>
        <v>10</v>
      </c>
    </row>
    <row r="1185" spans="2:21" x14ac:dyDescent="0.2">
      <c r="B1185" t="s">
        <v>90</v>
      </c>
      <c r="C1185" t="s">
        <v>834</v>
      </c>
      <c r="D1185" t="s">
        <v>91</v>
      </c>
      <c r="E1185" s="11"/>
      <c r="F1185" s="9"/>
      <c r="G1185" s="10">
        <v>1</v>
      </c>
      <c r="H1185" s="10">
        <v>1</v>
      </c>
      <c r="I1185">
        <v>0</v>
      </c>
      <c r="J1185" s="9"/>
      <c r="K1185" s="9">
        <v>10</v>
      </c>
      <c r="L1185" s="9">
        <v>0</v>
      </c>
      <c r="M1185" s="1">
        <f t="shared" si="45"/>
        <v>10</v>
      </c>
      <c r="N1185" s="11">
        <f t="shared" si="46"/>
        <v>10</v>
      </c>
      <c r="O1185" s="9"/>
      <c r="P1185" s="9"/>
      <c r="Q1185" s="9"/>
      <c r="R1185" s="9"/>
      <c r="S1185" s="9"/>
      <c r="T1185" s="9"/>
      <c r="U1185" s="9"/>
    </row>
    <row r="1186" spans="2:21" x14ac:dyDescent="0.2">
      <c r="B1186" t="s">
        <v>32</v>
      </c>
      <c r="C1186" t="s">
        <v>834</v>
      </c>
      <c r="D1186" t="s">
        <v>17</v>
      </c>
      <c r="E1186" s="11"/>
      <c r="F1186" s="9"/>
      <c r="G1186" s="10">
        <v>1</v>
      </c>
      <c r="H1186" s="10">
        <v>1</v>
      </c>
      <c r="I1186">
        <v>0</v>
      </c>
      <c r="J1186" s="9"/>
      <c r="K1186" s="9">
        <v>10</v>
      </c>
      <c r="L1186" s="9">
        <v>0</v>
      </c>
      <c r="M1186" s="1">
        <f t="shared" si="45"/>
        <v>10</v>
      </c>
      <c r="N1186" s="11">
        <f t="shared" si="46"/>
        <v>10</v>
      </c>
      <c r="O1186" s="9"/>
      <c r="P1186" s="9"/>
      <c r="Q1186" s="9"/>
      <c r="R1186" s="9"/>
      <c r="S1186" s="9"/>
      <c r="T1186" s="9"/>
      <c r="U1186" s="9"/>
    </row>
    <row r="1187" spans="2:21" x14ac:dyDescent="0.2">
      <c r="B1187" t="s">
        <v>90</v>
      </c>
      <c r="C1187" t="s">
        <v>811</v>
      </c>
      <c r="D1187" t="s">
        <v>237</v>
      </c>
      <c r="G1187">
        <v>1</v>
      </c>
      <c r="H1187">
        <v>1</v>
      </c>
      <c r="I1187">
        <v>0</v>
      </c>
      <c r="K1187" s="1">
        <v>10</v>
      </c>
      <c r="L1187" s="9">
        <v>0</v>
      </c>
      <c r="M1187" s="1">
        <f t="shared" si="45"/>
        <v>10</v>
      </c>
      <c r="N1187" s="11">
        <f t="shared" si="46"/>
        <v>10</v>
      </c>
    </row>
    <row r="1188" spans="2:21" ht="14" customHeight="1" x14ac:dyDescent="0.2">
      <c r="B1188" t="s">
        <v>90</v>
      </c>
      <c r="C1188" t="s">
        <v>1095</v>
      </c>
      <c r="D1188" t="s">
        <v>237</v>
      </c>
      <c r="E1188" s="11"/>
      <c r="F1188" s="9"/>
      <c r="G1188" s="10">
        <v>1</v>
      </c>
      <c r="H1188" s="10">
        <v>1</v>
      </c>
      <c r="I1188">
        <v>0</v>
      </c>
      <c r="J1188" s="9"/>
      <c r="K1188" s="9">
        <v>10</v>
      </c>
      <c r="L1188" s="9">
        <v>0</v>
      </c>
      <c r="M1188" s="1">
        <f t="shared" si="45"/>
        <v>10</v>
      </c>
      <c r="N1188" s="11">
        <f t="shared" si="46"/>
        <v>10</v>
      </c>
      <c r="O1188" s="9"/>
      <c r="P1188" s="9"/>
      <c r="Q1188" s="9"/>
      <c r="R1188" s="9"/>
      <c r="S1188" s="9"/>
      <c r="T1188" s="9"/>
      <c r="U1188" s="9"/>
    </row>
    <row r="1189" spans="2:21" x14ac:dyDescent="0.2">
      <c r="B1189" t="s">
        <v>725</v>
      </c>
      <c r="C1189" t="s">
        <v>1096</v>
      </c>
      <c r="D1189" t="s">
        <v>261</v>
      </c>
      <c r="E1189" s="11"/>
      <c r="F1189" s="9"/>
      <c r="G1189" s="10">
        <v>1</v>
      </c>
      <c r="H1189">
        <v>1</v>
      </c>
      <c r="I1189">
        <v>0</v>
      </c>
      <c r="J1189" s="9"/>
      <c r="K1189" s="9">
        <v>10</v>
      </c>
      <c r="L1189" s="9">
        <v>0</v>
      </c>
      <c r="M1189" s="1">
        <f t="shared" si="45"/>
        <v>10</v>
      </c>
      <c r="N1189" s="11">
        <f t="shared" si="46"/>
        <v>10</v>
      </c>
      <c r="O1189" s="9"/>
      <c r="P1189" s="9"/>
      <c r="Q1189" s="9"/>
      <c r="R1189" s="9"/>
      <c r="S1189" s="9"/>
      <c r="T1189" s="9"/>
      <c r="U1189" s="9"/>
    </row>
    <row r="1190" spans="2:21" x14ac:dyDescent="0.2">
      <c r="B1190" t="s">
        <v>32</v>
      </c>
      <c r="C1190" t="s">
        <v>1097</v>
      </c>
      <c r="D1190" t="s">
        <v>71</v>
      </c>
      <c r="E1190" s="11"/>
      <c r="F1190" s="9"/>
      <c r="G1190" s="10">
        <v>1</v>
      </c>
      <c r="H1190" s="10">
        <v>1</v>
      </c>
      <c r="I1190">
        <v>0</v>
      </c>
      <c r="J1190" s="9"/>
      <c r="K1190" s="9">
        <v>10</v>
      </c>
      <c r="L1190" s="9">
        <v>0</v>
      </c>
      <c r="M1190" s="1">
        <f t="shared" si="45"/>
        <v>10</v>
      </c>
      <c r="N1190" s="11">
        <f t="shared" si="46"/>
        <v>10</v>
      </c>
      <c r="O1190" s="9"/>
      <c r="P1190" s="9"/>
      <c r="Q1190" s="9"/>
      <c r="R1190" s="9"/>
      <c r="S1190" s="9"/>
      <c r="T1190" s="9"/>
      <c r="U1190" s="9"/>
    </row>
    <row r="1191" spans="2:21" x14ac:dyDescent="0.2">
      <c r="B1191" t="s">
        <v>725</v>
      </c>
      <c r="C1191" t="s">
        <v>1098</v>
      </c>
      <c r="D1191" t="s">
        <v>97</v>
      </c>
      <c r="E1191" s="11"/>
      <c r="F1191" s="9"/>
      <c r="G1191" s="10">
        <v>1</v>
      </c>
      <c r="H1191">
        <v>1</v>
      </c>
      <c r="I1191">
        <v>0</v>
      </c>
      <c r="J1191" s="9"/>
      <c r="K1191" s="9">
        <v>10</v>
      </c>
      <c r="L1191" s="9">
        <v>0</v>
      </c>
      <c r="M1191" s="1">
        <f t="shared" si="45"/>
        <v>10</v>
      </c>
      <c r="N1191" s="11">
        <f t="shared" si="46"/>
        <v>10</v>
      </c>
      <c r="O1191" s="9"/>
      <c r="P1191" s="9"/>
      <c r="Q1191" s="9"/>
      <c r="R1191" s="9"/>
      <c r="S1191" s="9"/>
      <c r="T1191" s="9"/>
      <c r="U1191" s="9"/>
    </row>
    <row r="1192" spans="2:21" x14ac:dyDescent="0.2">
      <c r="B1192" t="s">
        <v>32</v>
      </c>
      <c r="C1192" t="s">
        <v>1099</v>
      </c>
      <c r="D1192" t="s">
        <v>71</v>
      </c>
      <c r="E1192" s="11"/>
      <c r="F1192" s="9"/>
      <c r="G1192" s="10">
        <v>1</v>
      </c>
      <c r="H1192" s="10">
        <v>1</v>
      </c>
      <c r="I1192">
        <v>0</v>
      </c>
      <c r="J1192" s="9"/>
      <c r="K1192" s="9">
        <v>10</v>
      </c>
      <c r="L1192" s="9">
        <v>0</v>
      </c>
      <c r="M1192" s="1">
        <f t="shared" si="45"/>
        <v>10</v>
      </c>
      <c r="N1192" s="11">
        <f t="shared" si="46"/>
        <v>10</v>
      </c>
      <c r="O1192" s="9"/>
      <c r="P1192" s="9"/>
      <c r="Q1192" s="9"/>
      <c r="R1192" s="9"/>
      <c r="S1192" s="9"/>
      <c r="T1192" s="9"/>
      <c r="U1192" s="9"/>
    </row>
    <row r="1193" spans="2:21" x14ac:dyDescent="0.2">
      <c r="B1193" t="s">
        <v>725</v>
      </c>
      <c r="C1193" t="s">
        <v>1100</v>
      </c>
      <c r="D1193" t="s">
        <v>261</v>
      </c>
      <c r="E1193" s="11"/>
      <c r="F1193" s="9"/>
      <c r="G1193" s="10">
        <v>1</v>
      </c>
      <c r="H1193">
        <v>1</v>
      </c>
      <c r="I1193">
        <v>0</v>
      </c>
      <c r="J1193" s="9"/>
      <c r="K1193" s="9">
        <v>10</v>
      </c>
      <c r="L1193" s="9">
        <v>0</v>
      </c>
      <c r="M1193" s="1">
        <f t="shared" si="45"/>
        <v>10</v>
      </c>
      <c r="N1193" s="11">
        <f t="shared" si="46"/>
        <v>10</v>
      </c>
      <c r="O1193" s="9"/>
      <c r="P1193" s="9"/>
      <c r="Q1193" s="9"/>
      <c r="R1193" s="9"/>
      <c r="S1193" s="9"/>
      <c r="T1193" s="9"/>
      <c r="U1193" s="9"/>
    </row>
    <row r="1194" spans="2:21" x14ac:dyDescent="0.2">
      <c r="B1194" t="s">
        <v>90</v>
      </c>
      <c r="C1194" t="s">
        <v>1003</v>
      </c>
      <c r="D1194" t="s">
        <v>237</v>
      </c>
      <c r="E1194" s="11"/>
      <c r="F1194" s="9"/>
      <c r="G1194" s="10">
        <v>1</v>
      </c>
      <c r="H1194" s="10">
        <v>1</v>
      </c>
      <c r="I1194">
        <v>0</v>
      </c>
      <c r="J1194" s="9"/>
      <c r="K1194" s="9">
        <v>10</v>
      </c>
      <c r="L1194" s="9">
        <v>0</v>
      </c>
      <c r="M1194" s="1">
        <f t="shared" si="45"/>
        <v>10</v>
      </c>
      <c r="N1194" s="11">
        <f t="shared" si="46"/>
        <v>10</v>
      </c>
      <c r="O1194" s="9"/>
      <c r="P1194" s="9"/>
      <c r="Q1194" s="9"/>
      <c r="R1194" s="9"/>
      <c r="S1194" s="9"/>
      <c r="T1194" s="9"/>
      <c r="U1194" s="9"/>
    </row>
    <row r="1195" spans="2:21" x14ac:dyDescent="0.2">
      <c r="B1195" t="s">
        <v>725</v>
      </c>
      <c r="C1195" t="s">
        <v>1003</v>
      </c>
      <c r="D1195" t="s">
        <v>257</v>
      </c>
      <c r="E1195" s="11"/>
      <c r="F1195" s="9"/>
      <c r="G1195" s="10">
        <v>1</v>
      </c>
      <c r="H1195">
        <v>1</v>
      </c>
      <c r="I1195">
        <v>0</v>
      </c>
      <c r="J1195" s="9"/>
      <c r="K1195" s="9">
        <v>10</v>
      </c>
      <c r="L1195" s="9">
        <v>0</v>
      </c>
      <c r="M1195" s="1">
        <f t="shared" si="45"/>
        <v>10</v>
      </c>
      <c r="N1195" s="11">
        <f t="shared" si="46"/>
        <v>10</v>
      </c>
      <c r="O1195" s="9"/>
      <c r="P1195" s="9"/>
      <c r="Q1195" s="9"/>
      <c r="R1195" s="9"/>
      <c r="S1195" s="9"/>
      <c r="T1195" s="9"/>
      <c r="U1195" s="9"/>
    </row>
    <row r="1196" spans="2:21" x14ac:dyDescent="0.2">
      <c r="B1196" t="s">
        <v>1010</v>
      </c>
      <c r="C1196" t="s">
        <v>1101</v>
      </c>
      <c r="D1196" t="s">
        <v>91</v>
      </c>
      <c r="E1196" s="11"/>
      <c r="F1196" s="9"/>
      <c r="G1196" s="10">
        <v>1</v>
      </c>
      <c r="H1196" s="10">
        <v>1</v>
      </c>
      <c r="I1196">
        <v>0</v>
      </c>
      <c r="J1196" s="9"/>
      <c r="K1196" s="9">
        <v>16</v>
      </c>
      <c r="L1196" s="9">
        <v>0</v>
      </c>
      <c r="M1196" s="1">
        <f t="shared" si="45"/>
        <v>16</v>
      </c>
      <c r="N1196" s="11">
        <f t="shared" si="46"/>
        <v>16</v>
      </c>
      <c r="O1196" s="9">
        <v>25</v>
      </c>
      <c r="P1196" s="9"/>
      <c r="Q1196" s="9"/>
      <c r="R1196" s="9"/>
      <c r="S1196" s="9"/>
      <c r="T1196" s="9"/>
      <c r="U1196" s="9"/>
    </row>
    <row r="1197" spans="2:21" x14ac:dyDescent="0.2">
      <c r="B1197" t="s">
        <v>1010</v>
      </c>
      <c r="C1197" t="s">
        <v>1102</v>
      </c>
      <c r="D1197" t="s">
        <v>91</v>
      </c>
      <c r="E1197" s="11"/>
      <c r="F1197" s="9"/>
      <c r="G1197" s="10">
        <v>1</v>
      </c>
      <c r="H1197">
        <v>1</v>
      </c>
      <c r="I1197">
        <v>0</v>
      </c>
      <c r="J1197" s="9"/>
      <c r="K1197" s="9">
        <v>16</v>
      </c>
      <c r="L1197" s="9">
        <v>0</v>
      </c>
      <c r="M1197" s="1">
        <f t="shared" si="45"/>
        <v>16</v>
      </c>
      <c r="N1197" s="11">
        <f t="shared" si="46"/>
        <v>16</v>
      </c>
      <c r="O1197" s="9">
        <v>25</v>
      </c>
      <c r="P1197" s="9"/>
      <c r="Q1197" s="9"/>
      <c r="R1197" s="9"/>
      <c r="S1197" s="9"/>
      <c r="T1197" s="9"/>
      <c r="U1197" s="9"/>
    </row>
    <row r="1198" spans="2:21" x14ac:dyDescent="0.2">
      <c r="B1198" t="s">
        <v>1013</v>
      </c>
      <c r="C1198" t="s">
        <v>1103</v>
      </c>
      <c r="D1198" t="s">
        <v>17</v>
      </c>
      <c r="E1198" s="11"/>
      <c r="F1198" s="9"/>
      <c r="G1198" s="10">
        <v>1</v>
      </c>
      <c r="H1198" s="10">
        <v>1</v>
      </c>
      <c r="I1198">
        <v>0</v>
      </c>
      <c r="J1198" s="9"/>
      <c r="K1198" s="9">
        <v>16</v>
      </c>
      <c r="L1198" s="9">
        <v>0</v>
      </c>
      <c r="M1198" s="1">
        <f t="shared" si="45"/>
        <v>16</v>
      </c>
      <c r="N1198" s="11">
        <f t="shared" si="46"/>
        <v>16</v>
      </c>
      <c r="O1198" s="9">
        <v>25</v>
      </c>
      <c r="P1198" s="9"/>
      <c r="Q1198" s="9"/>
      <c r="R1198" s="9"/>
      <c r="S1198" s="9"/>
      <c r="T1198" s="9"/>
      <c r="U1198" s="9"/>
    </row>
    <row r="1199" spans="2:21" x14ac:dyDescent="0.2">
      <c r="B1199" t="s">
        <v>1013</v>
      </c>
      <c r="C1199" t="s">
        <v>1104</v>
      </c>
      <c r="D1199" t="s">
        <v>34</v>
      </c>
      <c r="E1199" s="11"/>
      <c r="F1199" s="9"/>
      <c r="G1199" s="10">
        <v>1</v>
      </c>
      <c r="H1199">
        <v>1</v>
      </c>
      <c r="I1199">
        <v>0</v>
      </c>
      <c r="J1199" s="9"/>
      <c r="K1199" s="9">
        <v>16</v>
      </c>
      <c r="L1199" s="9">
        <v>0</v>
      </c>
      <c r="M1199" s="1">
        <f t="shared" si="45"/>
        <v>16</v>
      </c>
      <c r="N1199" s="11">
        <f t="shared" si="46"/>
        <v>16</v>
      </c>
      <c r="O1199" s="9">
        <v>25</v>
      </c>
      <c r="P1199" s="9"/>
      <c r="Q1199" s="9"/>
      <c r="R1199" s="9"/>
      <c r="S1199" s="9"/>
      <c r="T1199" s="9"/>
      <c r="U1199" s="9"/>
    </row>
    <row r="1200" spans="2:21" x14ac:dyDescent="0.2">
      <c r="B1200" t="s">
        <v>1010</v>
      </c>
      <c r="C1200" t="s">
        <v>1105</v>
      </c>
      <c r="D1200" t="s">
        <v>95</v>
      </c>
      <c r="E1200" s="11"/>
      <c r="F1200" s="9"/>
      <c r="G1200" s="10">
        <v>1</v>
      </c>
      <c r="H1200" s="10">
        <v>1</v>
      </c>
      <c r="I1200">
        <v>0</v>
      </c>
      <c r="J1200" s="9"/>
      <c r="K1200" s="9">
        <v>16</v>
      </c>
      <c r="L1200" s="9">
        <v>0</v>
      </c>
      <c r="M1200" s="1">
        <f t="shared" si="45"/>
        <v>16</v>
      </c>
      <c r="N1200" s="11">
        <f t="shared" si="46"/>
        <v>16</v>
      </c>
      <c r="O1200" s="9">
        <v>20</v>
      </c>
      <c r="P1200" s="9"/>
      <c r="Q1200" s="9"/>
      <c r="R1200" s="9"/>
      <c r="S1200" s="9"/>
      <c r="T1200" s="9"/>
      <c r="U1200" s="9"/>
    </row>
    <row r="1201" spans="2:21" x14ac:dyDescent="0.2">
      <c r="B1201" t="s">
        <v>1008</v>
      </c>
      <c r="C1201" t="s">
        <v>1106</v>
      </c>
      <c r="D1201" t="s">
        <v>97</v>
      </c>
      <c r="E1201" s="11"/>
      <c r="F1201" s="9"/>
      <c r="G1201" s="10">
        <v>1</v>
      </c>
      <c r="H1201">
        <v>1</v>
      </c>
      <c r="I1201">
        <v>0</v>
      </c>
      <c r="J1201" s="9"/>
      <c r="K1201" s="9">
        <v>28</v>
      </c>
      <c r="L1201" s="9">
        <v>0</v>
      </c>
      <c r="M1201" s="1">
        <f t="shared" si="45"/>
        <v>28</v>
      </c>
      <c r="N1201" s="11">
        <f t="shared" si="46"/>
        <v>28</v>
      </c>
      <c r="O1201" s="9">
        <v>60</v>
      </c>
      <c r="P1201" s="9"/>
      <c r="Q1201" s="9"/>
      <c r="R1201" s="9"/>
      <c r="S1201" s="9"/>
      <c r="T1201" s="9"/>
      <c r="U1201" s="9"/>
    </row>
    <row r="1202" spans="2:21" x14ac:dyDescent="0.2">
      <c r="B1202" t="s">
        <v>1013</v>
      </c>
      <c r="C1202" t="s">
        <v>1107</v>
      </c>
      <c r="D1202" t="s">
        <v>34</v>
      </c>
      <c r="E1202" s="11"/>
      <c r="F1202" s="9"/>
      <c r="G1202" s="10">
        <v>1</v>
      </c>
      <c r="H1202" s="10">
        <v>1</v>
      </c>
      <c r="I1202">
        <v>0</v>
      </c>
      <c r="J1202" s="9"/>
      <c r="K1202" s="9">
        <v>28</v>
      </c>
      <c r="L1202" s="9">
        <v>0</v>
      </c>
      <c r="M1202" s="1">
        <f t="shared" si="45"/>
        <v>28</v>
      </c>
      <c r="N1202" s="11">
        <f t="shared" si="46"/>
        <v>28</v>
      </c>
      <c r="O1202" s="9">
        <v>60</v>
      </c>
      <c r="P1202" s="9"/>
      <c r="Q1202" s="9"/>
      <c r="R1202" s="9"/>
      <c r="S1202" s="9"/>
      <c r="T1202" s="9"/>
      <c r="U1202" s="9"/>
    </row>
    <row r="1203" spans="2:21" x14ac:dyDescent="0.2">
      <c r="B1203" t="s">
        <v>1008</v>
      </c>
      <c r="C1203" t="s">
        <v>1108</v>
      </c>
      <c r="D1203" t="s">
        <v>97</v>
      </c>
      <c r="E1203" s="11"/>
      <c r="F1203" s="9"/>
      <c r="G1203" s="10">
        <v>1</v>
      </c>
      <c r="H1203">
        <v>1</v>
      </c>
      <c r="I1203">
        <v>0</v>
      </c>
      <c r="J1203" s="9"/>
      <c r="K1203" s="9">
        <v>25</v>
      </c>
      <c r="L1203" s="9">
        <v>0</v>
      </c>
      <c r="M1203" s="1">
        <f t="shared" si="45"/>
        <v>25</v>
      </c>
      <c r="N1203" s="11">
        <f t="shared" si="46"/>
        <v>25</v>
      </c>
      <c r="O1203" s="9">
        <v>50</v>
      </c>
      <c r="P1203" s="9"/>
      <c r="Q1203" s="9"/>
      <c r="R1203" s="9"/>
      <c r="S1203" s="9"/>
      <c r="T1203" s="9"/>
      <c r="U1203" s="9"/>
    </row>
    <row r="1204" spans="2:21" x14ac:dyDescent="0.2">
      <c r="B1204" t="s">
        <v>1010</v>
      </c>
      <c r="C1204" t="s">
        <v>1109</v>
      </c>
      <c r="D1204" t="s">
        <v>91</v>
      </c>
      <c r="E1204" s="11"/>
      <c r="F1204" s="9"/>
      <c r="G1204" s="10">
        <v>1</v>
      </c>
      <c r="H1204" s="10">
        <v>1</v>
      </c>
      <c r="I1204">
        <v>0</v>
      </c>
      <c r="J1204" s="9"/>
      <c r="K1204" s="9">
        <v>25</v>
      </c>
      <c r="L1204" s="9">
        <v>0</v>
      </c>
      <c r="M1204" s="1">
        <f t="shared" si="45"/>
        <v>25</v>
      </c>
      <c r="N1204" s="11">
        <f t="shared" si="46"/>
        <v>25</v>
      </c>
      <c r="O1204" s="9">
        <v>50</v>
      </c>
      <c r="P1204" s="9"/>
      <c r="Q1204" s="9"/>
      <c r="R1204" s="9"/>
      <c r="S1204" s="9"/>
      <c r="T1204" s="9"/>
      <c r="U1204" s="9"/>
    </row>
    <row r="1205" spans="2:21" x14ac:dyDescent="0.2">
      <c r="B1205" t="s">
        <v>1008</v>
      </c>
      <c r="C1205" t="s">
        <v>1110</v>
      </c>
      <c r="D1205" t="s">
        <v>97</v>
      </c>
      <c r="E1205" s="11"/>
      <c r="F1205" s="9"/>
      <c r="G1205" s="10">
        <v>1</v>
      </c>
      <c r="H1205">
        <v>1</v>
      </c>
      <c r="I1205">
        <v>0</v>
      </c>
      <c r="J1205" s="9"/>
      <c r="K1205" s="9">
        <v>28</v>
      </c>
      <c r="L1205" s="9">
        <v>0</v>
      </c>
      <c r="M1205" s="1">
        <f t="shared" si="45"/>
        <v>28</v>
      </c>
      <c r="N1205" s="11">
        <f t="shared" si="46"/>
        <v>28</v>
      </c>
      <c r="O1205" s="9">
        <v>60</v>
      </c>
      <c r="P1205" s="9"/>
      <c r="Q1205" s="9"/>
      <c r="R1205" s="9"/>
      <c r="S1205" s="9"/>
      <c r="T1205" s="9"/>
      <c r="U1205" s="9"/>
    </row>
    <row r="1206" spans="2:21" x14ac:dyDescent="0.2">
      <c r="B1206" t="s">
        <v>1013</v>
      </c>
      <c r="C1206" t="s">
        <v>1110</v>
      </c>
      <c r="D1206" t="s">
        <v>17</v>
      </c>
      <c r="E1206" s="11"/>
      <c r="F1206" s="9"/>
      <c r="G1206" s="10">
        <v>1</v>
      </c>
      <c r="H1206" s="10">
        <v>1</v>
      </c>
      <c r="I1206">
        <v>0</v>
      </c>
      <c r="J1206" s="9"/>
      <c r="K1206" s="9">
        <v>28</v>
      </c>
      <c r="L1206" s="9">
        <v>0</v>
      </c>
      <c r="M1206" s="1">
        <f t="shared" si="45"/>
        <v>28</v>
      </c>
      <c r="N1206" s="11">
        <f t="shared" si="46"/>
        <v>28</v>
      </c>
      <c r="O1206" s="9">
        <v>60</v>
      </c>
      <c r="P1206" s="9"/>
      <c r="Q1206" s="9"/>
      <c r="R1206" s="9"/>
      <c r="S1206" s="9"/>
      <c r="T1206" s="9"/>
      <c r="U1206" s="9"/>
    </row>
    <row r="1207" spans="2:21" x14ac:dyDescent="0.2">
      <c r="B1207" t="s">
        <v>1010</v>
      </c>
      <c r="C1207" t="s">
        <v>1111</v>
      </c>
      <c r="D1207" t="s">
        <v>91</v>
      </c>
      <c r="E1207" s="11"/>
      <c r="F1207" s="9"/>
      <c r="G1207" s="10">
        <v>1</v>
      </c>
      <c r="H1207">
        <v>1</v>
      </c>
      <c r="I1207">
        <v>0</v>
      </c>
      <c r="J1207" s="9"/>
      <c r="K1207" s="9">
        <v>28</v>
      </c>
      <c r="L1207" s="9">
        <v>0</v>
      </c>
      <c r="M1207" s="1">
        <f t="shared" si="45"/>
        <v>28</v>
      </c>
      <c r="N1207" s="11">
        <f t="shared" si="46"/>
        <v>28</v>
      </c>
      <c r="O1207" s="9">
        <v>60</v>
      </c>
      <c r="P1207" s="9"/>
      <c r="Q1207" s="9"/>
      <c r="R1207" s="9"/>
      <c r="S1207" s="9"/>
      <c r="T1207" s="9"/>
      <c r="U1207" s="9"/>
    </row>
    <row r="1208" spans="2:21" x14ac:dyDescent="0.2">
      <c r="B1208" t="s">
        <v>1010</v>
      </c>
      <c r="C1208" t="s">
        <v>1112</v>
      </c>
      <c r="D1208" t="s">
        <v>91</v>
      </c>
      <c r="E1208" s="11"/>
      <c r="F1208" s="9"/>
      <c r="G1208" s="10">
        <v>2</v>
      </c>
      <c r="H1208" s="10">
        <v>2</v>
      </c>
      <c r="I1208">
        <v>0</v>
      </c>
      <c r="J1208" s="9"/>
      <c r="K1208" s="9">
        <v>28</v>
      </c>
      <c r="L1208" s="9">
        <v>0</v>
      </c>
      <c r="M1208" s="1">
        <f t="shared" si="45"/>
        <v>28</v>
      </c>
      <c r="N1208" s="11">
        <f t="shared" si="46"/>
        <v>56</v>
      </c>
      <c r="O1208" s="9">
        <v>60</v>
      </c>
      <c r="P1208" s="9"/>
      <c r="Q1208" s="9"/>
      <c r="R1208" s="9"/>
      <c r="S1208" s="9"/>
      <c r="T1208" s="9"/>
      <c r="U1208" s="9"/>
    </row>
    <row r="1209" spans="2:21" x14ac:dyDescent="0.2">
      <c r="B1209" t="s">
        <v>1008</v>
      </c>
      <c r="C1209" t="s">
        <v>1113</v>
      </c>
      <c r="D1209" t="s">
        <v>97</v>
      </c>
      <c r="E1209" s="11"/>
      <c r="F1209" s="9"/>
      <c r="G1209" s="10">
        <v>2</v>
      </c>
      <c r="H1209" s="10">
        <v>2</v>
      </c>
      <c r="I1209">
        <v>0</v>
      </c>
      <c r="J1209" s="9"/>
      <c r="K1209" s="9">
        <v>25</v>
      </c>
      <c r="L1209" s="9">
        <v>0</v>
      </c>
      <c r="M1209" s="1">
        <f t="shared" ref="M1209:M1272" si="47">K1209+L1209</f>
        <v>25</v>
      </c>
      <c r="N1209" s="11">
        <f t="shared" si="46"/>
        <v>50</v>
      </c>
      <c r="O1209" s="9"/>
      <c r="P1209" s="9"/>
      <c r="Q1209" s="9"/>
      <c r="R1209" s="9"/>
      <c r="S1209" s="9"/>
      <c r="T1209" s="9"/>
      <c r="U1209" s="9"/>
    </row>
    <row r="1210" spans="2:21" x14ac:dyDescent="0.2">
      <c r="B1210" t="s">
        <v>1013</v>
      </c>
      <c r="C1210" t="s">
        <v>1114</v>
      </c>
      <c r="D1210" t="s">
        <v>34</v>
      </c>
      <c r="E1210" s="11"/>
      <c r="F1210" s="9"/>
      <c r="G1210" s="10">
        <v>1</v>
      </c>
      <c r="H1210" s="10">
        <v>1</v>
      </c>
      <c r="I1210">
        <v>0</v>
      </c>
      <c r="J1210" s="9"/>
      <c r="K1210" s="9">
        <v>25</v>
      </c>
      <c r="L1210" s="9">
        <v>0</v>
      </c>
      <c r="M1210" s="1">
        <f t="shared" si="47"/>
        <v>25</v>
      </c>
      <c r="N1210" s="11">
        <f t="shared" si="46"/>
        <v>25</v>
      </c>
      <c r="O1210" s="9"/>
      <c r="P1210" s="9"/>
      <c r="Q1210" s="9"/>
      <c r="R1210" s="9"/>
      <c r="S1210" s="9"/>
      <c r="T1210" s="9"/>
      <c r="U1210" s="9"/>
    </row>
    <row r="1211" spans="2:21" x14ac:dyDescent="0.2">
      <c r="B1211" t="s">
        <v>1013</v>
      </c>
      <c r="C1211" t="s">
        <v>1115</v>
      </c>
      <c r="D1211" t="s">
        <v>34</v>
      </c>
      <c r="E1211" s="11"/>
      <c r="F1211" s="9"/>
      <c r="G1211" s="10">
        <v>1</v>
      </c>
      <c r="H1211" s="10">
        <v>1</v>
      </c>
      <c r="I1211">
        <v>0</v>
      </c>
      <c r="J1211" s="9"/>
      <c r="K1211" s="9">
        <v>25</v>
      </c>
      <c r="L1211" s="9">
        <v>0</v>
      </c>
      <c r="M1211" s="1">
        <f t="shared" si="47"/>
        <v>25</v>
      </c>
      <c r="N1211" s="11">
        <f t="shared" si="46"/>
        <v>25</v>
      </c>
      <c r="O1211" s="9"/>
      <c r="P1211" s="9"/>
      <c r="Q1211" s="9"/>
      <c r="R1211" s="9"/>
      <c r="S1211" s="9"/>
      <c r="T1211" s="9"/>
      <c r="U1211" s="9"/>
    </row>
    <row r="1212" spans="2:21" x14ac:dyDescent="0.2">
      <c r="B1212" t="s">
        <v>1008</v>
      </c>
      <c r="C1212" t="s">
        <v>1116</v>
      </c>
      <c r="D1212" t="s">
        <v>97</v>
      </c>
      <c r="E1212" s="11"/>
      <c r="F1212" s="9"/>
      <c r="G1212" s="10">
        <v>1</v>
      </c>
      <c r="H1212" s="10">
        <v>1</v>
      </c>
      <c r="I1212">
        <v>0</v>
      </c>
      <c r="J1212" s="9"/>
      <c r="K1212" s="9">
        <v>25</v>
      </c>
      <c r="L1212" s="9">
        <v>0</v>
      </c>
      <c r="M1212" s="1">
        <f t="shared" si="47"/>
        <v>25</v>
      </c>
      <c r="N1212" s="11">
        <f t="shared" si="46"/>
        <v>25</v>
      </c>
      <c r="O1212" s="9"/>
      <c r="P1212" s="9"/>
      <c r="Q1212" s="9"/>
      <c r="R1212" s="9"/>
      <c r="S1212" s="9"/>
      <c r="T1212" s="9"/>
      <c r="U1212" s="9"/>
    </row>
    <row r="1213" spans="2:21" x14ac:dyDescent="0.2">
      <c r="B1213" t="s">
        <v>1117</v>
      </c>
      <c r="C1213" t="s">
        <v>1118</v>
      </c>
      <c r="D1213" t="s">
        <v>97</v>
      </c>
      <c r="E1213" s="11"/>
      <c r="F1213" s="9"/>
      <c r="G1213" s="10">
        <v>1</v>
      </c>
      <c r="H1213" s="10">
        <v>1</v>
      </c>
      <c r="I1213">
        <v>0</v>
      </c>
      <c r="J1213" s="9"/>
      <c r="K1213" s="9">
        <v>22</v>
      </c>
      <c r="L1213" s="9">
        <v>0</v>
      </c>
      <c r="M1213" s="1">
        <f t="shared" si="47"/>
        <v>22</v>
      </c>
      <c r="N1213" s="11">
        <f t="shared" si="46"/>
        <v>22</v>
      </c>
      <c r="O1213" s="9"/>
      <c r="P1213" s="9"/>
      <c r="Q1213" s="9"/>
      <c r="R1213" s="9"/>
      <c r="S1213" s="9"/>
      <c r="T1213" s="9"/>
      <c r="U1213" s="9"/>
    </row>
    <row r="1214" spans="2:21" x14ac:dyDescent="0.2">
      <c r="B1214" t="s">
        <v>1117</v>
      </c>
      <c r="C1214" t="s">
        <v>1119</v>
      </c>
      <c r="D1214" t="s">
        <v>97</v>
      </c>
      <c r="E1214" s="11"/>
      <c r="F1214" s="9"/>
      <c r="G1214" s="10">
        <v>3</v>
      </c>
      <c r="H1214" s="10">
        <v>3</v>
      </c>
      <c r="I1214">
        <v>0</v>
      </c>
      <c r="J1214" s="9"/>
      <c r="K1214" s="9">
        <v>22</v>
      </c>
      <c r="L1214" s="9">
        <v>0</v>
      </c>
      <c r="M1214" s="1">
        <f t="shared" si="47"/>
        <v>22</v>
      </c>
      <c r="N1214" s="11">
        <f t="shared" si="46"/>
        <v>66</v>
      </c>
      <c r="O1214" s="9"/>
      <c r="P1214" s="9"/>
      <c r="Q1214" s="9"/>
      <c r="R1214" s="9"/>
      <c r="S1214" s="9"/>
      <c r="T1214" s="9"/>
      <c r="U1214" s="9"/>
    </row>
    <row r="1215" spans="2:21" x14ac:dyDescent="0.2">
      <c r="B1215" t="s">
        <v>1120</v>
      </c>
      <c r="C1215" t="s">
        <v>1121</v>
      </c>
      <c r="D1215" t="s">
        <v>91</v>
      </c>
      <c r="E1215" s="11"/>
      <c r="F1215" s="9"/>
      <c r="G1215" s="10">
        <v>1</v>
      </c>
      <c r="H1215" s="10">
        <v>1</v>
      </c>
      <c r="I1215">
        <v>0</v>
      </c>
      <c r="J1215" s="9"/>
      <c r="K1215" s="9">
        <v>22</v>
      </c>
      <c r="L1215" s="9">
        <v>0</v>
      </c>
      <c r="M1215" s="1">
        <f t="shared" si="47"/>
        <v>22</v>
      </c>
      <c r="N1215" s="11">
        <f t="shared" si="46"/>
        <v>22</v>
      </c>
      <c r="O1215" s="9"/>
      <c r="P1215" s="9"/>
      <c r="Q1215" s="9"/>
      <c r="R1215" s="9"/>
      <c r="S1215" s="9"/>
      <c r="T1215" s="9"/>
      <c r="U1215" s="9"/>
    </row>
    <row r="1216" spans="2:21" x14ac:dyDescent="0.2">
      <c r="B1216" t="s">
        <v>1117</v>
      </c>
      <c r="C1216" t="s">
        <v>1121</v>
      </c>
      <c r="D1216" t="s">
        <v>97</v>
      </c>
      <c r="E1216" s="11"/>
      <c r="F1216" s="9"/>
      <c r="G1216" s="10">
        <v>2</v>
      </c>
      <c r="H1216" s="10">
        <v>2</v>
      </c>
      <c r="I1216">
        <v>0</v>
      </c>
      <c r="J1216" s="9"/>
      <c r="K1216" s="9">
        <v>22</v>
      </c>
      <c r="L1216" s="9">
        <v>0</v>
      </c>
      <c r="M1216" s="1">
        <f t="shared" si="47"/>
        <v>22</v>
      </c>
      <c r="N1216" s="11">
        <f t="shared" si="46"/>
        <v>44</v>
      </c>
      <c r="O1216" s="9"/>
      <c r="P1216" s="9"/>
      <c r="Q1216" s="9"/>
      <c r="R1216" s="9"/>
      <c r="S1216" s="9"/>
      <c r="T1216" s="9"/>
      <c r="U1216" s="9"/>
    </row>
    <row r="1217" spans="2:21" x14ac:dyDescent="0.2">
      <c r="B1217" t="s">
        <v>1117</v>
      </c>
      <c r="C1217" t="s">
        <v>1122</v>
      </c>
      <c r="D1217" t="s">
        <v>97</v>
      </c>
      <c r="E1217" s="11"/>
      <c r="F1217" s="9"/>
      <c r="G1217" s="10">
        <v>1</v>
      </c>
      <c r="H1217" s="10">
        <v>1</v>
      </c>
      <c r="I1217">
        <v>0</v>
      </c>
      <c r="J1217" s="9"/>
      <c r="K1217" s="9">
        <v>22</v>
      </c>
      <c r="L1217" s="9">
        <v>0</v>
      </c>
      <c r="M1217" s="1">
        <f t="shared" si="47"/>
        <v>22</v>
      </c>
      <c r="N1217" s="11">
        <f t="shared" si="46"/>
        <v>22</v>
      </c>
      <c r="O1217" s="9"/>
      <c r="P1217" s="9"/>
      <c r="Q1217" s="9"/>
      <c r="R1217" s="9"/>
      <c r="S1217" s="9"/>
      <c r="T1217" s="9"/>
      <c r="U1217" s="9"/>
    </row>
    <row r="1218" spans="2:21" x14ac:dyDescent="0.2">
      <c r="B1218" t="s">
        <v>1120</v>
      </c>
      <c r="C1218" t="s">
        <v>1123</v>
      </c>
      <c r="D1218" t="s">
        <v>91</v>
      </c>
      <c r="E1218" s="11"/>
      <c r="F1218" s="9"/>
      <c r="G1218" s="10">
        <v>1</v>
      </c>
      <c r="H1218" s="10">
        <v>1</v>
      </c>
      <c r="I1218">
        <v>0</v>
      </c>
      <c r="J1218" s="9"/>
      <c r="K1218" s="9">
        <v>22</v>
      </c>
      <c r="L1218" s="9">
        <v>0</v>
      </c>
      <c r="M1218" s="1">
        <f t="shared" si="47"/>
        <v>22</v>
      </c>
      <c r="N1218" s="11">
        <f t="shared" si="46"/>
        <v>22</v>
      </c>
      <c r="O1218" s="9"/>
      <c r="P1218" s="9"/>
      <c r="Q1218" s="9"/>
      <c r="R1218" s="9"/>
      <c r="S1218" s="9"/>
      <c r="T1218" s="9"/>
      <c r="U1218" s="9"/>
    </row>
    <row r="1219" spans="2:21" x14ac:dyDescent="0.2">
      <c r="B1219" t="s">
        <v>1117</v>
      </c>
      <c r="C1219" t="s">
        <v>1124</v>
      </c>
      <c r="D1219" t="s">
        <v>97</v>
      </c>
      <c r="E1219" s="11"/>
      <c r="F1219" s="9"/>
      <c r="G1219" s="10">
        <v>1</v>
      </c>
      <c r="H1219" s="10">
        <v>1</v>
      </c>
      <c r="I1219">
        <v>0</v>
      </c>
      <c r="J1219" s="9"/>
      <c r="K1219" s="9">
        <v>22</v>
      </c>
      <c r="L1219" s="9">
        <v>0</v>
      </c>
      <c r="M1219" s="1">
        <f t="shared" si="47"/>
        <v>22</v>
      </c>
      <c r="N1219" s="11">
        <f t="shared" ref="N1219:N1282" si="48">G1219*K1219</f>
        <v>22</v>
      </c>
      <c r="O1219" s="9"/>
      <c r="P1219" s="9"/>
      <c r="Q1219" s="9"/>
      <c r="R1219" s="9"/>
      <c r="S1219" s="9"/>
      <c r="T1219" s="9"/>
      <c r="U1219" s="9"/>
    </row>
    <row r="1220" spans="2:21" x14ac:dyDescent="0.2">
      <c r="B1220" t="s">
        <v>1008</v>
      </c>
      <c r="C1220" t="s">
        <v>1125</v>
      </c>
      <c r="D1220" t="s">
        <v>97</v>
      </c>
      <c r="E1220" s="11"/>
      <c r="F1220" s="9"/>
      <c r="G1220" s="10">
        <v>2</v>
      </c>
      <c r="H1220" s="10">
        <v>2</v>
      </c>
      <c r="I1220">
        <v>0</v>
      </c>
      <c r="J1220" s="9"/>
      <c r="K1220" s="9">
        <v>20</v>
      </c>
      <c r="L1220" s="9">
        <v>0</v>
      </c>
      <c r="M1220" s="1">
        <f t="shared" si="47"/>
        <v>20</v>
      </c>
      <c r="N1220" s="11">
        <f t="shared" si="48"/>
        <v>40</v>
      </c>
      <c r="O1220" s="9"/>
      <c r="P1220" s="9"/>
      <c r="Q1220" s="9"/>
      <c r="R1220" s="9"/>
      <c r="S1220" s="9"/>
      <c r="T1220" s="9"/>
      <c r="U1220" s="9"/>
    </row>
    <row r="1221" spans="2:21" x14ac:dyDescent="0.2">
      <c r="B1221" t="s">
        <v>1010</v>
      </c>
      <c r="C1221" t="s">
        <v>1126</v>
      </c>
      <c r="D1221" t="s">
        <v>95</v>
      </c>
      <c r="E1221" s="11"/>
      <c r="F1221" s="9"/>
      <c r="G1221" s="10">
        <v>1</v>
      </c>
      <c r="H1221" s="10">
        <v>1</v>
      </c>
      <c r="I1221">
        <v>0</v>
      </c>
      <c r="J1221" s="9"/>
      <c r="K1221" s="9">
        <v>20</v>
      </c>
      <c r="L1221" s="9">
        <v>0</v>
      </c>
      <c r="M1221" s="1">
        <f t="shared" si="47"/>
        <v>20</v>
      </c>
      <c r="N1221" s="11">
        <f t="shared" si="48"/>
        <v>20</v>
      </c>
      <c r="O1221" s="9"/>
      <c r="P1221" s="9"/>
      <c r="Q1221" s="9"/>
      <c r="R1221" s="9"/>
      <c r="S1221" s="9"/>
      <c r="T1221" s="9"/>
      <c r="U1221" s="9"/>
    </row>
    <row r="1222" spans="2:21" x14ac:dyDescent="0.2">
      <c r="B1222" t="s">
        <v>1013</v>
      </c>
      <c r="C1222" t="s">
        <v>1126</v>
      </c>
      <c r="D1222" t="s">
        <v>17</v>
      </c>
      <c r="E1222" s="11"/>
      <c r="F1222" s="9"/>
      <c r="G1222" s="10">
        <v>1</v>
      </c>
      <c r="H1222" s="10">
        <v>1</v>
      </c>
      <c r="I1222">
        <v>0</v>
      </c>
      <c r="J1222" s="9"/>
      <c r="K1222" s="9">
        <v>20</v>
      </c>
      <c r="L1222" s="9">
        <v>0</v>
      </c>
      <c r="M1222" s="1">
        <f t="shared" si="47"/>
        <v>20</v>
      </c>
      <c r="N1222" s="11">
        <f t="shared" si="48"/>
        <v>20</v>
      </c>
      <c r="O1222" s="9"/>
      <c r="P1222" s="9"/>
      <c r="Q1222" s="9"/>
      <c r="R1222" s="9"/>
      <c r="S1222" s="9"/>
      <c r="T1222" s="9"/>
      <c r="U1222" s="9"/>
    </row>
    <row r="1223" spans="2:21" x14ac:dyDescent="0.2">
      <c r="B1223" t="s">
        <v>1008</v>
      </c>
      <c r="C1223" t="s">
        <v>1127</v>
      </c>
      <c r="D1223" t="s">
        <v>97</v>
      </c>
      <c r="E1223" s="11"/>
      <c r="F1223" s="9"/>
      <c r="G1223" s="10">
        <v>1</v>
      </c>
      <c r="H1223" s="10">
        <v>1</v>
      </c>
      <c r="I1223">
        <v>0</v>
      </c>
      <c r="J1223" s="9"/>
      <c r="K1223" s="9">
        <v>20</v>
      </c>
      <c r="L1223" s="9">
        <v>0</v>
      </c>
      <c r="M1223" s="1">
        <f t="shared" si="47"/>
        <v>20</v>
      </c>
      <c r="N1223" s="11">
        <f t="shared" si="48"/>
        <v>20</v>
      </c>
      <c r="O1223" s="9"/>
      <c r="P1223" s="9"/>
      <c r="Q1223" s="9"/>
      <c r="R1223" s="9"/>
      <c r="S1223" s="9"/>
      <c r="T1223" s="9"/>
      <c r="U1223" s="9"/>
    </row>
    <row r="1224" spans="2:21" x14ac:dyDescent="0.2">
      <c r="B1224" t="s">
        <v>1010</v>
      </c>
      <c r="C1224" t="s">
        <v>1128</v>
      </c>
      <c r="D1224" t="s">
        <v>95</v>
      </c>
      <c r="E1224" s="11"/>
      <c r="F1224" s="9"/>
      <c r="G1224" s="10">
        <v>1</v>
      </c>
      <c r="H1224" s="10">
        <v>1</v>
      </c>
      <c r="I1224">
        <v>0</v>
      </c>
      <c r="J1224" s="9"/>
      <c r="K1224" s="9">
        <v>20</v>
      </c>
      <c r="L1224" s="9">
        <v>0</v>
      </c>
      <c r="M1224" s="1">
        <f t="shared" si="47"/>
        <v>20</v>
      </c>
      <c r="N1224" s="11">
        <f t="shared" si="48"/>
        <v>20</v>
      </c>
      <c r="O1224" s="9"/>
      <c r="P1224" s="9"/>
      <c r="Q1224" s="9"/>
      <c r="R1224" s="9"/>
      <c r="S1224" s="9"/>
      <c r="T1224" s="9"/>
      <c r="U1224" s="9"/>
    </row>
    <row r="1225" spans="2:21" x14ac:dyDescent="0.2">
      <c r="B1225" t="s">
        <v>1013</v>
      </c>
      <c r="C1225" t="s">
        <v>1129</v>
      </c>
      <c r="D1225" t="s">
        <v>34</v>
      </c>
      <c r="E1225" s="11"/>
      <c r="F1225" s="9"/>
      <c r="G1225" s="10">
        <v>1</v>
      </c>
      <c r="H1225" s="10">
        <v>1</v>
      </c>
      <c r="I1225">
        <v>0</v>
      </c>
      <c r="J1225" s="9"/>
      <c r="K1225" s="9">
        <v>20</v>
      </c>
      <c r="L1225" s="9">
        <v>0</v>
      </c>
      <c r="M1225" s="1">
        <f t="shared" si="47"/>
        <v>20</v>
      </c>
      <c r="N1225" s="11">
        <f t="shared" si="48"/>
        <v>20</v>
      </c>
      <c r="O1225" s="9"/>
      <c r="P1225" s="9"/>
      <c r="Q1225" s="9"/>
      <c r="R1225" s="9"/>
      <c r="S1225" s="9"/>
      <c r="T1225" s="9"/>
      <c r="U1225" s="9"/>
    </row>
    <row r="1226" spans="2:21" x14ac:dyDescent="0.2">
      <c r="B1226" t="s">
        <v>1013</v>
      </c>
      <c r="C1226" t="s">
        <v>1130</v>
      </c>
      <c r="D1226" t="s">
        <v>34</v>
      </c>
      <c r="E1226" s="11"/>
      <c r="F1226" s="9"/>
      <c r="G1226" s="10">
        <v>1</v>
      </c>
      <c r="H1226" s="10">
        <v>1</v>
      </c>
      <c r="I1226">
        <v>0</v>
      </c>
      <c r="J1226" s="9"/>
      <c r="K1226" s="9">
        <v>20</v>
      </c>
      <c r="L1226" s="9">
        <v>0</v>
      </c>
      <c r="M1226" s="1">
        <f t="shared" si="47"/>
        <v>20</v>
      </c>
      <c r="N1226" s="11">
        <f t="shared" si="48"/>
        <v>20</v>
      </c>
      <c r="O1226" s="9"/>
      <c r="P1226" s="9"/>
      <c r="Q1226" s="9"/>
      <c r="R1226" s="9"/>
      <c r="S1226" s="9"/>
      <c r="T1226" s="9"/>
      <c r="U1226" s="9"/>
    </row>
    <row r="1227" spans="2:21" x14ac:dyDescent="0.2">
      <c r="B1227" t="s">
        <v>1013</v>
      </c>
      <c r="C1227" t="s">
        <v>1131</v>
      </c>
      <c r="D1227" t="s">
        <v>34</v>
      </c>
      <c r="E1227" s="11"/>
      <c r="F1227" s="9"/>
      <c r="G1227" s="10">
        <v>1</v>
      </c>
      <c r="H1227" s="10">
        <v>1</v>
      </c>
      <c r="I1227">
        <v>0</v>
      </c>
      <c r="J1227" s="9"/>
      <c r="K1227" s="9">
        <v>20</v>
      </c>
      <c r="L1227" s="9">
        <v>0</v>
      </c>
      <c r="M1227" s="1">
        <f t="shared" si="47"/>
        <v>20</v>
      </c>
      <c r="N1227" s="11">
        <f t="shared" si="48"/>
        <v>20</v>
      </c>
      <c r="O1227" s="9"/>
      <c r="P1227" s="9"/>
      <c r="Q1227" s="9"/>
      <c r="R1227" s="9"/>
      <c r="S1227" s="9"/>
      <c r="T1227" s="9"/>
      <c r="U1227" s="9"/>
    </row>
    <row r="1228" spans="2:21" x14ac:dyDescent="0.2">
      <c r="B1228" t="s">
        <v>1117</v>
      </c>
      <c r="C1228" t="s">
        <v>1132</v>
      </c>
      <c r="D1228" t="s">
        <v>97</v>
      </c>
      <c r="E1228" s="11"/>
      <c r="F1228" s="9"/>
      <c r="G1228" s="10">
        <v>1</v>
      </c>
      <c r="H1228" s="10">
        <v>1</v>
      </c>
      <c r="I1228">
        <v>0</v>
      </c>
      <c r="J1228" s="9"/>
      <c r="K1228" s="9">
        <v>35</v>
      </c>
      <c r="L1228" s="9">
        <v>0</v>
      </c>
      <c r="M1228" s="1">
        <f t="shared" si="47"/>
        <v>35</v>
      </c>
      <c r="N1228" s="11">
        <f t="shared" si="48"/>
        <v>35</v>
      </c>
      <c r="O1228" s="9"/>
      <c r="P1228" s="9"/>
      <c r="Q1228" s="9"/>
      <c r="R1228" s="9"/>
      <c r="S1228" s="9"/>
      <c r="T1228" s="9"/>
      <c r="U1228" s="9"/>
    </row>
    <row r="1229" spans="2:21" x14ac:dyDescent="0.2">
      <c r="B1229" t="s">
        <v>1133</v>
      </c>
      <c r="C1229" t="s">
        <v>1132</v>
      </c>
      <c r="D1229" t="s">
        <v>34</v>
      </c>
      <c r="E1229" s="11"/>
      <c r="F1229" s="9"/>
      <c r="G1229" s="10">
        <v>1</v>
      </c>
      <c r="H1229" s="10">
        <v>1</v>
      </c>
      <c r="I1229">
        <v>0</v>
      </c>
      <c r="J1229" s="9"/>
      <c r="K1229" s="9">
        <v>35</v>
      </c>
      <c r="L1229" s="9">
        <v>0</v>
      </c>
      <c r="M1229" s="1">
        <f t="shared" si="47"/>
        <v>35</v>
      </c>
      <c r="N1229" s="11">
        <f t="shared" si="48"/>
        <v>35</v>
      </c>
      <c r="O1229" s="9"/>
      <c r="P1229" s="9"/>
      <c r="Q1229" s="9"/>
      <c r="R1229" s="9"/>
      <c r="S1229" s="9"/>
      <c r="T1229" s="9"/>
      <c r="U1229" s="9"/>
    </row>
    <row r="1230" spans="2:21" x14ac:dyDescent="0.2">
      <c r="B1230" t="s">
        <v>1117</v>
      </c>
      <c r="C1230" t="s">
        <v>1134</v>
      </c>
      <c r="D1230" t="s">
        <v>97</v>
      </c>
      <c r="E1230" s="11"/>
      <c r="F1230" s="9"/>
      <c r="G1230" s="10">
        <v>1</v>
      </c>
      <c r="H1230" s="10">
        <v>1</v>
      </c>
      <c r="I1230">
        <v>0</v>
      </c>
      <c r="J1230" s="9"/>
      <c r="K1230" s="9">
        <v>35</v>
      </c>
      <c r="L1230" s="9">
        <v>0</v>
      </c>
      <c r="M1230" s="1">
        <f t="shared" si="47"/>
        <v>35</v>
      </c>
      <c r="N1230" s="11">
        <f t="shared" si="48"/>
        <v>35</v>
      </c>
      <c r="O1230" s="9"/>
      <c r="P1230" s="9"/>
      <c r="Q1230" s="9"/>
      <c r="R1230" s="9"/>
      <c r="S1230" s="9"/>
      <c r="T1230" s="9"/>
      <c r="U1230" s="9"/>
    </row>
    <row r="1231" spans="2:21" x14ac:dyDescent="0.2">
      <c r="B1231" t="s">
        <v>498</v>
      </c>
      <c r="C1231" t="s">
        <v>159</v>
      </c>
      <c r="D1231" t="s">
        <v>385</v>
      </c>
      <c r="G1231">
        <v>1</v>
      </c>
      <c r="H1231">
        <v>0</v>
      </c>
      <c r="I1231">
        <f>G1231</f>
        <v>1</v>
      </c>
      <c r="K1231" s="9">
        <v>75</v>
      </c>
      <c r="L1231" s="9">
        <v>0</v>
      </c>
      <c r="M1231" s="1">
        <f t="shared" si="47"/>
        <v>75</v>
      </c>
      <c r="N1231" s="11">
        <f t="shared" si="48"/>
        <v>75</v>
      </c>
    </row>
    <row r="1232" spans="2:21" x14ac:dyDescent="0.2">
      <c r="B1232" t="s">
        <v>498</v>
      </c>
      <c r="C1232" t="s">
        <v>1135</v>
      </c>
      <c r="D1232" t="s">
        <v>384</v>
      </c>
      <c r="G1232">
        <v>1</v>
      </c>
      <c r="H1232">
        <v>0</v>
      </c>
      <c r="I1232">
        <f t="shared" ref="I1232:I1262" si="49">G1232</f>
        <v>1</v>
      </c>
      <c r="K1232" s="9">
        <v>75</v>
      </c>
      <c r="L1232" s="9">
        <v>0</v>
      </c>
      <c r="M1232" s="1">
        <f t="shared" si="47"/>
        <v>75</v>
      </c>
      <c r="N1232" s="11">
        <f t="shared" si="48"/>
        <v>75</v>
      </c>
    </row>
    <row r="1233" spans="2:14" x14ac:dyDescent="0.2">
      <c r="B1233" t="s">
        <v>498</v>
      </c>
      <c r="C1233" t="s">
        <v>1041</v>
      </c>
      <c r="D1233" t="s">
        <v>384</v>
      </c>
      <c r="G1233">
        <v>1</v>
      </c>
      <c r="H1233">
        <v>1</v>
      </c>
      <c r="I1233">
        <v>0</v>
      </c>
      <c r="K1233" s="9">
        <v>40</v>
      </c>
      <c r="L1233" s="9">
        <v>0</v>
      </c>
      <c r="M1233" s="1">
        <f t="shared" si="47"/>
        <v>40</v>
      </c>
      <c r="N1233" s="11">
        <f t="shared" si="48"/>
        <v>40</v>
      </c>
    </row>
    <row r="1234" spans="2:14" x14ac:dyDescent="0.2">
      <c r="B1234" t="s">
        <v>126</v>
      </c>
      <c r="C1234" t="s">
        <v>1136</v>
      </c>
      <c r="D1234" t="s">
        <v>128</v>
      </c>
      <c r="G1234">
        <v>1</v>
      </c>
      <c r="H1234">
        <v>0</v>
      </c>
      <c r="I1234">
        <f t="shared" si="49"/>
        <v>1</v>
      </c>
      <c r="K1234" s="9">
        <v>60</v>
      </c>
      <c r="L1234" s="9">
        <v>0</v>
      </c>
      <c r="M1234" s="1">
        <f t="shared" si="47"/>
        <v>60</v>
      </c>
      <c r="N1234" s="11">
        <f t="shared" si="48"/>
        <v>60</v>
      </c>
    </row>
    <row r="1235" spans="2:14" x14ac:dyDescent="0.2">
      <c r="B1235" t="s">
        <v>126</v>
      </c>
      <c r="C1235" t="s">
        <v>1137</v>
      </c>
      <c r="D1235" t="s">
        <v>129</v>
      </c>
      <c r="G1235">
        <v>1</v>
      </c>
      <c r="H1235">
        <v>0</v>
      </c>
      <c r="I1235">
        <f t="shared" si="49"/>
        <v>1</v>
      </c>
      <c r="K1235" s="9">
        <v>25</v>
      </c>
      <c r="L1235" s="9">
        <v>0</v>
      </c>
      <c r="M1235" s="1">
        <f t="shared" si="47"/>
        <v>25</v>
      </c>
      <c r="N1235" s="11">
        <f t="shared" si="48"/>
        <v>25</v>
      </c>
    </row>
    <row r="1236" spans="2:14" x14ac:dyDescent="0.2">
      <c r="B1236" t="s">
        <v>126</v>
      </c>
      <c r="C1236" t="s">
        <v>1138</v>
      </c>
      <c r="D1236" t="s">
        <v>130</v>
      </c>
      <c r="G1236">
        <v>1</v>
      </c>
      <c r="H1236">
        <v>0</v>
      </c>
      <c r="I1236">
        <f t="shared" si="49"/>
        <v>1</v>
      </c>
      <c r="K1236" s="9">
        <v>15</v>
      </c>
      <c r="L1236" s="9">
        <v>0</v>
      </c>
      <c r="M1236" s="1">
        <f t="shared" si="47"/>
        <v>15</v>
      </c>
      <c r="N1236" s="11">
        <f t="shared" si="48"/>
        <v>15</v>
      </c>
    </row>
    <row r="1237" spans="2:14" x14ac:dyDescent="0.2">
      <c r="B1237" t="s">
        <v>386</v>
      </c>
      <c r="C1237" t="s">
        <v>1139</v>
      </c>
      <c r="D1237" t="s">
        <v>388</v>
      </c>
      <c r="G1237">
        <v>1</v>
      </c>
      <c r="H1237">
        <v>1</v>
      </c>
      <c r="I1237">
        <v>0</v>
      </c>
      <c r="K1237" s="9">
        <v>25</v>
      </c>
      <c r="L1237" s="9">
        <v>0</v>
      </c>
      <c r="M1237" s="1">
        <f t="shared" si="47"/>
        <v>25</v>
      </c>
      <c r="N1237" s="11">
        <f t="shared" si="48"/>
        <v>25</v>
      </c>
    </row>
    <row r="1238" spans="2:14" x14ac:dyDescent="0.2">
      <c r="B1238" t="s">
        <v>386</v>
      </c>
      <c r="C1238" t="s">
        <v>1140</v>
      </c>
      <c r="D1238" t="s">
        <v>399</v>
      </c>
      <c r="G1238">
        <v>1</v>
      </c>
      <c r="H1238">
        <v>1</v>
      </c>
      <c r="I1238">
        <v>0</v>
      </c>
      <c r="K1238" s="9">
        <v>25</v>
      </c>
      <c r="L1238" s="9">
        <v>0</v>
      </c>
      <c r="M1238" s="1">
        <f t="shared" si="47"/>
        <v>25</v>
      </c>
      <c r="N1238" s="11">
        <f t="shared" si="48"/>
        <v>25</v>
      </c>
    </row>
    <row r="1239" spans="2:14" x14ac:dyDescent="0.2">
      <c r="B1239" t="s">
        <v>386</v>
      </c>
      <c r="C1239" t="s">
        <v>1141</v>
      </c>
      <c r="D1239" t="s">
        <v>399</v>
      </c>
      <c r="G1239">
        <v>1</v>
      </c>
      <c r="H1239">
        <v>1</v>
      </c>
      <c r="I1239">
        <v>0</v>
      </c>
      <c r="K1239" s="9">
        <v>25</v>
      </c>
      <c r="L1239" s="9">
        <v>0</v>
      </c>
      <c r="M1239" s="1">
        <f t="shared" si="47"/>
        <v>25</v>
      </c>
      <c r="N1239" s="11">
        <f t="shared" si="48"/>
        <v>25</v>
      </c>
    </row>
    <row r="1240" spans="2:14" x14ac:dyDescent="0.2">
      <c r="B1240" t="s">
        <v>215</v>
      </c>
      <c r="C1240" t="s">
        <v>1142</v>
      </c>
      <c r="D1240" t="s">
        <v>97</v>
      </c>
      <c r="G1240">
        <v>1</v>
      </c>
      <c r="H1240">
        <v>0</v>
      </c>
      <c r="I1240">
        <f t="shared" si="49"/>
        <v>1</v>
      </c>
      <c r="K1240" s="9">
        <v>25</v>
      </c>
      <c r="L1240" s="9">
        <v>0</v>
      </c>
      <c r="M1240" s="1">
        <f t="shared" si="47"/>
        <v>25</v>
      </c>
      <c r="N1240" s="11">
        <f t="shared" si="48"/>
        <v>25</v>
      </c>
    </row>
    <row r="1241" spans="2:14" x14ac:dyDescent="0.2">
      <c r="B1241" t="s">
        <v>90</v>
      </c>
      <c r="C1241" t="s">
        <v>1143</v>
      </c>
      <c r="D1241" t="s">
        <v>237</v>
      </c>
      <c r="G1241">
        <v>1</v>
      </c>
      <c r="H1241">
        <v>0</v>
      </c>
      <c r="I1241">
        <f t="shared" si="49"/>
        <v>1</v>
      </c>
      <c r="K1241" s="9">
        <v>25</v>
      </c>
      <c r="L1241" s="9">
        <v>0</v>
      </c>
      <c r="M1241" s="1">
        <f t="shared" si="47"/>
        <v>25</v>
      </c>
      <c r="N1241" s="11">
        <f t="shared" si="48"/>
        <v>25</v>
      </c>
    </row>
    <row r="1242" spans="2:14" x14ac:dyDescent="0.2">
      <c r="B1242" t="s">
        <v>215</v>
      </c>
      <c r="C1242" t="s">
        <v>1144</v>
      </c>
      <c r="D1242" t="s">
        <v>257</v>
      </c>
      <c r="G1242">
        <v>1</v>
      </c>
      <c r="H1242">
        <v>0</v>
      </c>
      <c r="I1242">
        <f t="shared" si="49"/>
        <v>1</v>
      </c>
      <c r="K1242" s="9">
        <v>25</v>
      </c>
      <c r="L1242" s="9">
        <v>0</v>
      </c>
      <c r="M1242" s="1">
        <f t="shared" si="47"/>
        <v>25</v>
      </c>
      <c r="N1242" s="11">
        <f t="shared" si="48"/>
        <v>25</v>
      </c>
    </row>
    <row r="1243" spans="2:14" x14ac:dyDescent="0.2">
      <c r="B1243" t="s">
        <v>215</v>
      </c>
      <c r="C1243" t="s">
        <v>1145</v>
      </c>
      <c r="D1243" t="s">
        <v>563</v>
      </c>
      <c r="G1243">
        <v>1</v>
      </c>
      <c r="H1243">
        <v>0</v>
      </c>
      <c r="I1243">
        <f t="shared" si="49"/>
        <v>1</v>
      </c>
      <c r="K1243" s="9">
        <v>25</v>
      </c>
      <c r="L1243" s="9">
        <v>0</v>
      </c>
      <c r="M1243" s="1">
        <f t="shared" si="47"/>
        <v>25</v>
      </c>
      <c r="N1243" s="11">
        <f t="shared" si="48"/>
        <v>25</v>
      </c>
    </row>
    <row r="1244" spans="2:14" x14ac:dyDescent="0.2">
      <c r="B1244" t="s">
        <v>215</v>
      </c>
      <c r="C1244" t="s">
        <v>1146</v>
      </c>
      <c r="D1244" t="s">
        <v>97</v>
      </c>
      <c r="G1244">
        <v>1</v>
      </c>
      <c r="H1244">
        <v>0</v>
      </c>
      <c r="I1244">
        <f t="shared" si="49"/>
        <v>1</v>
      </c>
      <c r="K1244" s="9">
        <v>25</v>
      </c>
      <c r="L1244" s="9">
        <v>0</v>
      </c>
      <c r="M1244" s="1">
        <f t="shared" si="47"/>
        <v>25</v>
      </c>
      <c r="N1244" s="11">
        <f t="shared" si="48"/>
        <v>25</v>
      </c>
    </row>
    <row r="1245" spans="2:14" x14ac:dyDescent="0.2">
      <c r="B1245" t="s">
        <v>90</v>
      </c>
      <c r="C1245" t="s">
        <v>1147</v>
      </c>
      <c r="D1245" t="s">
        <v>91</v>
      </c>
      <c r="G1245">
        <v>1</v>
      </c>
      <c r="H1245">
        <v>0</v>
      </c>
      <c r="I1245">
        <f t="shared" si="49"/>
        <v>1</v>
      </c>
      <c r="K1245" s="9">
        <v>15</v>
      </c>
      <c r="L1245" s="9">
        <v>0</v>
      </c>
      <c r="M1245" s="1">
        <f t="shared" si="47"/>
        <v>15</v>
      </c>
      <c r="N1245" s="11">
        <f t="shared" si="48"/>
        <v>15</v>
      </c>
    </row>
    <row r="1246" spans="2:14" x14ac:dyDescent="0.2">
      <c r="B1246" t="s">
        <v>32</v>
      </c>
      <c r="C1246" t="s">
        <v>1148</v>
      </c>
      <c r="D1246" t="s">
        <v>34</v>
      </c>
      <c r="G1246">
        <v>1</v>
      </c>
      <c r="H1246">
        <v>0</v>
      </c>
      <c r="I1246">
        <f t="shared" si="49"/>
        <v>1</v>
      </c>
      <c r="K1246" s="9">
        <v>15</v>
      </c>
      <c r="L1246" s="9">
        <v>0</v>
      </c>
      <c r="M1246" s="1">
        <f t="shared" si="47"/>
        <v>15</v>
      </c>
      <c r="N1246" s="11">
        <f t="shared" si="48"/>
        <v>15</v>
      </c>
    </row>
    <row r="1247" spans="2:14" x14ac:dyDescent="0.2">
      <c r="B1247" t="s">
        <v>215</v>
      </c>
      <c r="C1247" t="s">
        <v>1149</v>
      </c>
      <c r="D1247" t="s">
        <v>97</v>
      </c>
      <c r="G1247">
        <v>1</v>
      </c>
      <c r="H1247">
        <v>0</v>
      </c>
      <c r="I1247">
        <f t="shared" si="49"/>
        <v>1</v>
      </c>
      <c r="K1247" s="9">
        <v>15</v>
      </c>
      <c r="L1247" s="9">
        <v>0</v>
      </c>
      <c r="M1247" s="1">
        <f t="shared" si="47"/>
        <v>15</v>
      </c>
      <c r="N1247" s="11">
        <f t="shared" si="48"/>
        <v>15</v>
      </c>
    </row>
    <row r="1248" spans="2:14" x14ac:dyDescent="0.2">
      <c r="B1248" t="s">
        <v>215</v>
      </c>
      <c r="C1248" t="s">
        <v>1150</v>
      </c>
      <c r="D1248" t="s">
        <v>97</v>
      </c>
      <c r="G1248">
        <v>1</v>
      </c>
      <c r="H1248">
        <v>0</v>
      </c>
      <c r="I1248">
        <f t="shared" si="49"/>
        <v>1</v>
      </c>
      <c r="K1248" s="9">
        <v>15</v>
      </c>
      <c r="L1248" s="9">
        <v>0</v>
      </c>
      <c r="M1248" s="1">
        <f t="shared" si="47"/>
        <v>15</v>
      </c>
      <c r="N1248" s="11">
        <f t="shared" si="48"/>
        <v>15</v>
      </c>
    </row>
    <row r="1249" spans="2:14" x14ac:dyDescent="0.2">
      <c r="B1249" t="s">
        <v>215</v>
      </c>
      <c r="C1249" t="s">
        <v>1151</v>
      </c>
      <c r="D1249" t="s">
        <v>97</v>
      </c>
      <c r="G1249">
        <v>1</v>
      </c>
      <c r="H1249">
        <v>0</v>
      </c>
      <c r="I1249">
        <f t="shared" si="49"/>
        <v>1</v>
      </c>
      <c r="K1249" s="9">
        <v>15</v>
      </c>
      <c r="L1249" s="9">
        <v>0</v>
      </c>
      <c r="M1249" s="1">
        <f t="shared" si="47"/>
        <v>15</v>
      </c>
      <c r="N1249" s="11">
        <f t="shared" si="48"/>
        <v>15</v>
      </c>
    </row>
    <row r="1250" spans="2:14" x14ac:dyDescent="0.2">
      <c r="B1250" t="s">
        <v>215</v>
      </c>
      <c r="C1250" t="s">
        <v>1152</v>
      </c>
      <c r="D1250" t="s">
        <v>97</v>
      </c>
      <c r="G1250">
        <v>1</v>
      </c>
      <c r="H1250">
        <v>0</v>
      </c>
      <c r="I1250">
        <f t="shared" si="49"/>
        <v>1</v>
      </c>
      <c r="K1250" s="9">
        <v>15</v>
      </c>
      <c r="L1250" s="9">
        <v>0</v>
      </c>
      <c r="M1250" s="1">
        <f t="shared" si="47"/>
        <v>15</v>
      </c>
      <c r="N1250" s="11">
        <f t="shared" si="48"/>
        <v>15</v>
      </c>
    </row>
    <row r="1251" spans="2:14" x14ac:dyDescent="0.2">
      <c r="B1251" t="s">
        <v>215</v>
      </c>
      <c r="C1251" t="s">
        <v>1153</v>
      </c>
      <c r="D1251" t="s">
        <v>97</v>
      </c>
      <c r="G1251">
        <v>1</v>
      </c>
      <c r="H1251">
        <v>0</v>
      </c>
      <c r="I1251">
        <f t="shared" si="49"/>
        <v>1</v>
      </c>
      <c r="K1251" s="9">
        <v>20</v>
      </c>
      <c r="L1251" s="9">
        <v>0</v>
      </c>
      <c r="M1251" s="1">
        <f t="shared" si="47"/>
        <v>20</v>
      </c>
      <c r="N1251" s="11">
        <f t="shared" si="48"/>
        <v>20</v>
      </c>
    </row>
    <row r="1252" spans="2:14" x14ac:dyDescent="0.2">
      <c r="B1252" t="s">
        <v>215</v>
      </c>
      <c r="C1252" t="s">
        <v>1154</v>
      </c>
      <c r="D1252" t="s">
        <v>97</v>
      </c>
      <c r="G1252">
        <v>1</v>
      </c>
      <c r="H1252">
        <v>0</v>
      </c>
      <c r="I1252">
        <f t="shared" si="49"/>
        <v>1</v>
      </c>
      <c r="K1252" s="9">
        <v>20</v>
      </c>
      <c r="L1252" s="9">
        <v>0</v>
      </c>
      <c r="M1252" s="1">
        <f t="shared" si="47"/>
        <v>20</v>
      </c>
      <c r="N1252" s="11">
        <f t="shared" si="48"/>
        <v>20</v>
      </c>
    </row>
    <row r="1253" spans="2:14" x14ac:dyDescent="0.2">
      <c r="B1253" t="s">
        <v>215</v>
      </c>
      <c r="C1253" t="s">
        <v>1155</v>
      </c>
      <c r="D1253" t="s">
        <v>261</v>
      </c>
      <c r="G1253">
        <v>1</v>
      </c>
      <c r="H1253">
        <v>0</v>
      </c>
      <c r="I1253">
        <f t="shared" si="49"/>
        <v>1</v>
      </c>
      <c r="K1253" s="9">
        <v>20</v>
      </c>
      <c r="L1253" s="9">
        <v>0</v>
      </c>
      <c r="M1253" s="1">
        <f t="shared" si="47"/>
        <v>20</v>
      </c>
      <c r="N1253" s="11">
        <f t="shared" si="48"/>
        <v>20</v>
      </c>
    </row>
    <row r="1254" spans="2:14" x14ac:dyDescent="0.2">
      <c r="B1254" t="s">
        <v>215</v>
      </c>
      <c r="C1254" t="s">
        <v>1156</v>
      </c>
      <c r="D1254" t="s">
        <v>257</v>
      </c>
      <c r="G1254">
        <v>1</v>
      </c>
      <c r="H1254">
        <v>0</v>
      </c>
      <c r="I1254">
        <f t="shared" si="49"/>
        <v>1</v>
      </c>
      <c r="K1254" s="9">
        <v>20</v>
      </c>
      <c r="L1254" s="9">
        <v>0</v>
      </c>
      <c r="M1254" s="1">
        <f t="shared" si="47"/>
        <v>20</v>
      </c>
      <c r="N1254" s="11">
        <f t="shared" si="48"/>
        <v>20</v>
      </c>
    </row>
    <row r="1255" spans="2:14" x14ac:dyDescent="0.2">
      <c r="B1255" t="s">
        <v>215</v>
      </c>
      <c r="C1255" t="s">
        <v>1157</v>
      </c>
      <c r="D1255" t="s">
        <v>261</v>
      </c>
      <c r="G1255">
        <v>1</v>
      </c>
      <c r="H1255">
        <v>0</v>
      </c>
      <c r="I1255">
        <f t="shared" si="49"/>
        <v>1</v>
      </c>
      <c r="K1255" s="9">
        <v>20</v>
      </c>
      <c r="L1255" s="9">
        <v>0</v>
      </c>
      <c r="M1255" s="1">
        <f t="shared" si="47"/>
        <v>20</v>
      </c>
      <c r="N1255" s="11">
        <f t="shared" si="48"/>
        <v>20</v>
      </c>
    </row>
    <row r="1256" spans="2:14" x14ac:dyDescent="0.2">
      <c r="B1256" t="s">
        <v>215</v>
      </c>
      <c r="C1256" t="s">
        <v>1158</v>
      </c>
      <c r="D1256" t="s">
        <v>257</v>
      </c>
      <c r="G1256">
        <v>1</v>
      </c>
      <c r="H1256">
        <v>0</v>
      </c>
      <c r="I1256">
        <f t="shared" si="49"/>
        <v>1</v>
      </c>
      <c r="K1256" s="9">
        <v>20</v>
      </c>
      <c r="L1256" s="9">
        <v>0</v>
      </c>
      <c r="M1256" s="1">
        <f t="shared" si="47"/>
        <v>20</v>
      </c>
      <c r="N1256" s="11">
        <f t="shared" si="48"/>
        <v>20</v>
      </c>
    </row>
    <row r="1257" spans="2:14" x14ac:dyDescent="0.2">
      <c r="B1257" t="s">
        <v>215</v>
      </c>
      <c r="C1257" t="s">
        <v>1158</v>
      </c>
      <c r="D1257" t="s">
        <v>261</v>
      </c>
      <c r="G1257">
        <v>1</v>
      </c>
      <c r="H1257">
        <v>0</v>
      </c>
      <c r="I1257">
        <f t="shared" si="49"/>
        <v>1</v>
      </c>
      <c r="K1257" s="9">
        <v>20</v>
      </c>
      <c r="L1257" s="9">
        <v>0</v>
      </c>
      <c r="M1257" s="1">
        <f t="shared" si="47"/>
        <v>20</v>
      </c>
      <c r="N1257" s="11">
        <f t="shared" si="48"/>
        <v>20</v>
      </c>
    </row>
    <row r="1258" spans="2:14" x14ac:dyDescent="0.2">
      <c r="B1258" t="s">
        <v>215</v>
      </c>
      <c r="C1258" t="s">
        <v>1159</v>
      </c>
      <c r="D1258" t="s">
        <v>97</v>
      </c>
      <c r="G1258">
        <v>1</v>
      </c>
      <c r="H1258">
        <v>0</v>
      </c>
      <c r="I1258">
        <f t="shared" si="49"/>
        <v>1</v>
      </c>
      <c r="K1258" s="9">
        <v>20</v>
      </c>
      <c r="L1258" s="9">
        <v>0</v>
      </c>
      <c r="M1258" s="1">
        <f t="shared" si="47"/>
        <v>20</v>
      </c>
      <c r="N1258" s="11">
        <f t="shared" si="48"/>
        <v>20</v>
      </c>
    </row>
    <row r="1259" spans="2:14" x14ac:dyDescent="0.2">
      <c r="B1259" t="s">
        <v>215</v>
      </c>
      <c r="C1259" t="s">
        <v>1160</v>
      </c>
      <c r="D1259" t="s">
        <v>261</v>
      </c>
      <c r="G1259">
        <v>1</v>
      </c>
      <c r="H1259">
        <v>0</v>
      </c>
      <c r="I1259">
        <f t="shared" si="49"/>
        <v>1</v>
      </c>
      <c r="K1259" s="9">
        <v>20</v>
      </c>
      <c r="L1259" s="9">
        <v>0</v>
      </c>
      <c r="M1259" s="1">
        <f t="shared" si="47"/>
        <v>20</v>
      </c>
      <c r="N1259" s="11">
        <f t="shared" si="48"/>
        <v>20</v>
      </c>
    </row>
    <row r="1260" spans="2:14" x14ac:dyDescent="0.2">
      <c r="B1260" t="s">
        <v>574</v>
      </c>
      <c r="C1260" t="s">
        <v>1161</v>
      </c>
      <c r="D1260" t="s">
        <v>91</v>
      </c>
      <c r="G1260">
        <v>1</v>
      </c>
      <c r="H1260">
        <v>0</v>
      </c>
      <c r="I1260">
        <f t="shared" si="49"/>
        <v>1</v>
      </c>
      <c r="K1260" s="9">
        <v>18</v>
      </c>
      <c r="L1260" s="9">
        <v>0</v>
      </c>
      <c r="M1260" s="1">
        <f t="shared" si="47"/>
        <v>18</v>
      </c>
      <c r="N1260" s="11">
        <f t="shared" si="48"/>
        <v>18</v>
      </c>
    </row>
    <row r="1261" spans="2:14" x14ac:dyDescent="0.2">
      <c r="B1261" t="s">
        <v>623</v>
      </c>
      <c r="C1261" t="s">
        <v>1162</v>
      </c>
      <c r="D1261" t="s">
        <v>97</v>
      </c>
      <c r="G1261">
        <v>1</v>
      </c>
      <c r="H1261">
        <v>0</v>
      </c>
      <c r="I1261">
        <f t="shared" si="49"/>
        <v>1</v>
      </c>
      <c r="K1261" s="9">
        <v>18</v>
      </c>
      <c r="L1261" s="9">
        <v>0</v>
      </c>
      <c r="M1261" s="1">
        <f t="shared" si="47"/>
        <v>18</v>
      </c>
      <c r="N1261" s="11">
        <f t="shared" si="48"/>
        <v>18</v>
      </c>
    </row>
    <row r="1262" spans="2:14" x14ac:dyDescent="0.2">
      <c r="B1262" t="s">
        <v>623</v>
      </c>
      <c r="C1262" t="s">
        <v>1163</v>
      </c>
      <c r="D1262" t="s">
        <v>97</v>
      </c>
      <c r="G1262">
        <v>1</v>
      </c>
      <c r="H1262">
        <v>0</v>
      </c>
      <c r="I1262">
        <f t="shared" si="49"/>
        <v>1</v>
      </c>
      <c r="K1262" s="9">
        <v>18</v>
      </c>
      <c r="L1262" s="9">
        <v>0</v>
      </c>
      <c r="M1262" s="1">
        <f t="shared" si="47"/>
        <v>18</v>
      </c>
      <c r="N1262" s="11">
        <f t="shared" si="48"/>
        <v>18</v>
      </c>
    </row>
    <row r="1263" spans="2:14" x14ac:dyDescent="0.2">
      <c r="B1263" t="s">
        <v>1001</v>
      </c>
      <c r="C1263" t="s">
        <v>1164</v>
      </c>
      <c r="D1263" t="s">
        <v>97</v>
      </c>
      <c r="G1263">
        <v>1</v>
      </c>
      <c r="H1263">
        <v>1</v>
      </c>
      <c r="I1263">
        <v>0</v>
      </c>
      <c r="K1263" s="9">
        <v>20</v>
      </c>
      <c r="L1263" s="9">
        <v>0</v>
      </c>
      <c r="M1263" s="1">
        <f t="shared" si="47"/>
        <v>20</v>
      </c>
      <c r="N1263" s="11">
        <f t="shared" si="48"/>
        <v>20</v>
      </c>
    </row>
    <row r="1264" spans="2:14" x14ac:dyDescent="0.2">
      <c r="B1264" t="s">
        <v>1085</v>
      </c>
      <c r="C1264" t="s">
        <v>1165</v>
      </c>
      <c r="D1264" t="s">
        <v>253</v>
      </c>
      <c r="G1264">
        <v>1</v>
      </c>
      <c r="H1264">
        <v>1</v>
      </c>
      <c r="I1264">
        <v>0</v>
      </c>
      <c r="K1264" s="9">
        <v>20</v>
      </c>
      <c r="L1264" s="9">
        <v>0</v>
      </c>
      <c r="M1264" s="1">
        <f t="shared" si="47"/>
        <v>20</v>
      </c>
      <c r="N1264" s="11">
        <f t="shared" si="48"/>
        <v>20</v>
      </c>
    </row>
    <row r="1265" spans="2:21" x14ac:dyDescent="0.2">
      <c r="B1265" t="s">
        <v>1001</v>
      </c>
      <c r="C1265" t="s">
        <v>1166</v>
      </c>
      <c r="D1265" t="s">
        <v>257</v>
      </c>
      <c r="G1265">
        <v>1</v>
      </c>
      <c r="H1265">
        <v>1</v>
      </c>
      <c r="I1265">
        <v>0</v>
      </c>
      <c r="K1265" s="9">
        <v>20</v>
      </c>
      <c r="L1265" s="9">
        <v>0</v>
      </c>
      <c r="M1265" s="1">
        <f t="shared" si="47"/>
        <v>20</v>
      </c>
      <c r="N1265" s="11">
        <f t="shared" si="48"/>
        <v>20</v>
      </c>
    </row>
    <row r="1266" spans="2:21" x14ac:dyDescent="0.2">
      <c r="B1266" t="s">
        <v>422</v>
      </c>
      <c r="C1266" t="s">
        <v>1167</v>
      </c>
      <c r="D1266" t="s">
        <v>95</v>
      </c>
      <c r="G1266">
        <v>2</v>
      </c>
      <c r="H1266">
        <v>2</v>
      </c>
      <c r="I1266">
        <v>0</v>
      </c>
      <c r="K1266" s="9">
        <v>25</v>
      </c>
      <c r="L1266" s="9">
        <v>0</v>
      </c>
      <c r="M1266" s="1">
        <f t="shared" si="47"/>
        <v>25</v>
      </c>
      <c r="N1266" s="11">
        <f t="shared" si="48"/>
        <v>50</v>
      </c>
    </row>
    <row r="1267" spans="2:21" x14ac:dyDescent="0.2">
      <c r="B1267" t="s">
        <v>422</v>
      </c>
      <c r="C1267" t="s">
        <v>1167</v>
      </c>
      <c r="D1267" t="s">
        <v>91</v>
      </c>
      <c r="G1267">
        <v>1</v>
      </c>
      <c r="H1267">
        <v>1</v>
      </c>
      <c r="I1267">
        <v>0</v>
      </c>
      <c r="K1267" s="9">
        <v>25</v>
      </c>
      <c r="L1267" s="9">
        <v>0</v>
      </c>
      <c r="M1267" s="1">
        <f t="shared" si="47"/>
        <v>25</v>
      </c>
      <c r="N1267" s="11">
        <f t="shared" si="48"/>
        <v>25</v>
      </c>
    </row>
    <row r="1268" spans="2:21" x14ac:dyDescent="0.2">
      <c r="B1268" t="s">
        <v>1001</v>
      </c>
      <c r="C1268" t="s">
        <v>1168</v>
      </c>
      <c r="D1268" t="s">
        <v>97</v>
      </c>
      <c r="G1268">
        <v>1</v>
      </c>
      <c r="H1268">
        <v>1</v>
      </c>
      <c r="I1268">
        <v>0</v>
      </c>
      <c r="K1268" s="9">
        <v>25</v>
      </c>
      <c r="L1268" s="9">
        <v>0</v>
      </c>
      <c r="M1268" s="1">
        <f t="shared" si="47"/>
        <v>25</v>
      </c>
      <c r="N1268" s="11">
        <f t="shared" si="48"/>
        <v>25</v>
      </c>
    </row>
    <row r="1269" spans="2:21" x14ac:dyDescent="0.2">
      <c r="B1269" t="s">
        <v>1085</v>
      </c>
      <c r="C1269" t="s">
        <v>1168</v>
      </c>
      <c r="D1269" t="s">
        <v>34</v>
      </c>
      <c r="G1269">
        <v>1</v>
      </c>
      <c r="H1269">
        <v>1</v>
      </c>
      <c r="I1269">
        <v>0</v>
      </c>
      <c r="K1269" s="9">
        <v>25</v>
      </c>
      <c r="L1269" s="9">
        <v>0</v>
      </c>
      <c r="M1269" s="1">
        <f t="shared" si="47"/>
        <v>25</v>
      </c>
      <c r="N1269" s="11">
        <f t="shared" si="48"/>
        <v>25</v>
      </c>
    </row>
    <row r="1270" spans="2:21" x14ac:dyDescent="0.2">
      <c r="B1270" t="s">
        <v>1001</v>
      </c>
      <c r="C1270" t="s">
        <v>1169</v>
      </c>
      <c r="D1270" t="s">
        <v>97</v>
      </c>
      <c r="G1270">
        <v>1</v>
      </c>
      <c r="H1270">
        <v>1</v>
      </c>
      <c r="I1270">
        <v>0</v>
      </c>
      <c r="K1270" s="9">
        <v>20</v>
      </c>
      <c r="L1270" s="9">
        <v>0</v>
      </c>
      <c r="M1270" s="1">
        <f t="shared" si="47"/>
        <v>20</v>
      </c>
      <c r="N1270" s="11">
        <f t="shared" si="48"/>
        <v>20</v>
      </c>
    </row>
    <row r="1271" spans="2:21" ht="14" customHeight="1" x14ac:dyDescent="0.2">
      <c r="B1271" t="s">
        <v>1117</v>
      </c>
      <c r="C1271" t="s">
        <v>1170</v>
      </c>
      <c r="D1271" t="s">
        <v>97</v>
      </c>
      <c r="E1271" s="11"/>
      <c r="F1271" s="9"/>
      <c r="G1271" s="10">
        <v>1</v>
      </c>
      <c r="H1271">
        <v>1</v>
      </c>
      <c r="I1271">
        <v>0</v>
      </c>
      <c r="J1271" s="9"/>
      <c r="K1271" s="9">
        <v>12.5</v>
      </c>
      <c r="L1271" s="9">
        <v>0</v>
      </c>
      <c r="M1271" s="1">
        <f t="shared" si="47"/>
        <v>12.5</v>
      </c>
      <c r="N1271" s="11">
        <f t="shared" si="48"/>
        <v>12.5</v>
      </c>
      <c r="O1271" s="9">
        <v>25</v>
      </c>
      <c r="P1271" s="9"/>
      <c r="Q1271" s="9"/>
      <c r="R1271" s="9"/>
      <c r="S1271" s="9"/>
      <c r="T1271" s="9"/>
      <c r="U1271" s="9"/>
    </row>
    <row r="1272" spans="2:21" ht="14" customHeight="1" x14ac:dyDescent="0.2">
      <c r="B1272" t="s">
        <v>1133</v>
      </c>
      <c r="C1272" t="s">
        <v>1170</v>
      </c>
      <c r="D1272" t="s">
        <v>34</v>
      </c>
      <c r="E1272" s="11"/>
      <c r="F1272" s="9"/>
      <c r="G1272" s="10">
        <v>1</v>
      </c>
      <c r="H1272">
        <v>1</v>
      </c>
      <c r="I1272">
        <v>0</v>
      </c>
      <c r="J1272" s="9"/>
      <c r="K1272" s="9">
        <v>12.5</v>
      </c>
      <c r="L1272" s="9">
        <v>0</v>
      </c>
      <c r="M1272" s="1">
        <f t="shared" si="47"/>
        <v>12.5</v>
      </c>
      <c r="N1272" s="11">
        <f t="shared" si="48"/>
        <v>12.5</v>
      </c>
      <c r="O1272" s="9">
        <v>25</v>
      </c>
      <c r="P1272" s="9"/>
      <c r="Q1272" s="9"/>
      <c r="R1272" s="9"/>
      <c r="S1272" s="9"/>
      <c r="T1272" s="9"/>
      <c r="U1272" s="9"/>
    </row>
    <row r="1273" spans="2:21" ht="14" customHeight="1" x14ac:dyDescent="0.2">
      <c r="B1273" t="s">
        <v>1133</v>
      </c>
      <c r="C1273" t="s">
        <v>1171</v>
      </c>
      <c r="D1273" t="s">
        <v>34</v>
      </c>
      <c r="E1273" s="11"/>
      <c r="F1273" s="9"/>
      <c r="G1273" s="10">
        <v>1</v>
      </c>
      <c r="H1273">
        <v>1</v>
      </c>
      <c r="I1273">
        <v>0</v>
      </c>
      <c r="J1273" s="9"/>
      <c r="K1273" s="9">
        <v>12.5</v>
      </c>
      <c r="L1273" s="9">
        <v>0</v>
      </c>
      <c r="M1273" s="1">
        <f t="shared" ref="M1273:M1336" si="50">K1273+L1273</f>
        <v>12.5</v>
      </c>
      <c r="N1273" s="11">
        <f t="shared" si="48"/>
        <v>12.5</v>
      </c>
      <c r="O1273" s="9">
        <v>25</v>
      </c>
      <c r="P1273" s="9"/>
      <c r="Q1273" s="9"/>
      <c r="R1273" s="9"/>
      <c r="S1273" s="9"/>
      <c r="T1273" s="9"/>
      <c r="U1273" s="9"/>
    </row>
    <row r="1274" spans="2:21" ht="14" customHeight="1" x14ac:dyDescent="0.2">
      <c r="B1274" t="s">
        <v>1133</v>
      </c>
      <c r="C1274" t="s">
        <v>1172</v>
      </c>
      <c r="D1274" t="s">
        <v>34</v>
      </c>
      <c r="E1274" s="11"/>
      <c r="F1274" s="9"/>
      <c r="G1274" s="10">
        <v>1</v>
      </c>
      <c r="H1274">
        <v>1</v>
      </c>
      <c r="I1274">
        <v>0</v>
      </c>
      <c r="J1274" s="9"/>
      <c r="K1274" s="9">
        <v>12.5</v>
      </c>
      <c r="L1274" s="9">
        <v>0</v>
      </c>
      <c r="M1274" s="1">
        <f t="shared" si="50"/>
        <v>12.5</v>
      </c>
      <c r="N1274" s="11">
        <f t="shared" si="48"/>
        <v>12.5</v>
      </c>
      <c r="O1274" s="9">
        <v>25</v>
      </c>
      <c r="P1274" s="9"/>
      <c r="Q1274" s="9"/>
      <c r="R1274" s="9"/>
      <c r="S1274" s="9"/>
      <c r="T1274" s="9"/>
      <c r="U1274" s="9"/>
    </row>
    <row r="1275" spans="2:21" ht="14" customHeight="1" x14ac:dyDescent="0.2">
      <c r="B1275" t="s">
        <v>1133</v>
      </c>
      <c r="C1275" t="s">
        <v>1173</v>
      </c>
      <c r="D1275" t="s">
        <v>17</v>
      </c>
      <c r="E1275" s="11"/>
      <c r="F1275" s="9"/>
      <c r="G1275" s="10">
        <v>2</v>
      </c>
      <c r="H1275">
        <v>2</v>
      </c>
      <c r="I1275">
        <v>0</v>
      </c>
      <c r="J1275" s="9"/>
      <c r="K1275" s="9">
        <v>12.5</v>
      </c>
      <c r="L1275" s="9">
        <v>0</v>
      </c>
      <c r="M1275" s="1">
        <f t="shared" si="50"/>
        <v>12.5</v>
      </c>
      <c r="N1275" s="11">
        <f t="shared" si="48"/>
        <v>25</v>
      </c>
      <c r="O1275" s="9">
        <v>25</v>
      </c>
      <c r="P1275" s="9"/>
      <c r="Q1275" s="9"/>
      <c r="R1275" s="9"/>
      <c r="S1275" s="9"/>
      <c r="T1275" s="9"/>
      <c r="U1275" s="9"/>
    </row>
    <row r="1276" spans="2:21" ht="14" customHeight="1" x14ac:dyDescent="0.2">
      <c r="B1276" t="s">
        <v>1174</v>
      </c>
      <c r="C1276" t="s">
        <v>1173</v>
      </c>
      <c r="D1276" t="s">
        <v>27</v>
      </c>
      <c r="E1276" s="11"/>
      <c r="F1276" s="9"/>
      <c r="G1276" s="10">
        <v>1</v>
      </c>
      <c r="H1276">
        <v>1</v>
      </c>
      <c r="I1276">
        <v>0</v>
      </c>
      <c r="J1276" s="9"/>
      <c r="K1276" s="9">
        <v>12.5</v>
      </c>
      <c r="L1276" s="9">
        <v>0</v>
      </c>
      <c r="M1276" s="1">
        <f t="shared" si="50"/>
        <v>12.5</v>
      </c>
      <c r="N1276" s="11">
        <f t="shared" si="48"/>
        <v>12.5</v>
      </c>
      <c r="O1276" s="9">
        <v>25</v>
      </c>
      <c r="P1276" s="9"/>
      <c r="Q1276" s="9"/>
      <c r="R1276" s="9"/>
      <c r="S1276" s="9"/>
      <c r="T1276" s="9"/>
      <c r="U1276" s="9"/>
    </row>
    <row r="1277" spans="2:21" ht="14" customHeight="1" x14ac:dyDescent="0.2">
      <c r="B1277" t="s">
        <v>1174</v>
      </c>
      <c r="C1277" t="s">
        <v>1175</v>
      </c>
      <c r="D1277" t="s">
        <v>27</v>
      </c>
      <c r="E1277" s="11"/>
      <c r="F1277" s="9"/>
      <c r="G1277" s="10">
        <v>1</v>
      </c>
      <c r="H1277">
        <v>1</v>
      </c>
      <c r="I1277">
        <v>0</v>
      </c>
      <c r="J1277" s="9"/>
      <c r="K1277" s="9">
        <v>12.5</v>
      </c>
      <c r="L1277" s="9">
        <v>0</v>
      </c>
      <c r="M1277" s="1">
        <f t="shared" si="50"/>
        <v>12.5</v>
      </c>
      <c r="N1277" s="11">
        <f t="shared" si="48"/>
        <v>12.5</v>
      </c>
      <c r="O1277" s="9">
        <v>25</v>
      </c>
      <c r="P1277" s="9"/>
      <c r="Q1277" s="9"/>
      <c r="R1277" s="9"/>
      <c r="S1277" s="9"/>
      <c r="T1277" s="9"/>
      <c r="U1277" s="9"/>
    </row>
    <row r="1278" spans="2:21" ht="14" customHeight="1" x14ac:dyDescent="0.2">
      <c r="B1278" t="s">
        <v>1133</v>
      </c>
      <c r="C1278" t="s">
        <v>1176</v>
      </c>
      <c r="D1278" t="s">
        <v>34</v>
      </c>
      <c r="E1278" s="11"/>
      <c r="F1278" s="9"/>
      <c r="G1278" s="10">
        <v>1</v>
      </c>
      <c r="H1278">
        <v>1</v>
      </c>
      <c r="I1278">
        <v>0</v>
      </c>
      <c r="J1278" s="9"/>
      <c r="K1278" s="9">
        <v>12.5</v>
      </c>
      <c r="L1278" s="9">
        <v>0</v>
      </c>
      <c r="M1278" s="1">
        <f t="shared" si="50"/>
        <v>12.5</v>
      </c>
      <c r="N1278" s="11">
        <f t="shared" si="48"/>
        <v>12.5</v>
      </c>
      <c r="O1278" s="9">
        <v>25</v>
      </c>
      <c r="P1278" s="9"/>
      <c r="Q1278" s="9"/>
      <c r="R1278" s="9"/>
      <c r="S1278" s="9"/>
      <c r="T1278" s="9"/>
      <c r="U1278" s="9"/>
    </row>
    <row r="1279" spans="2:21" ht="14" customHeight="1" x14ac:dyDescent="0.2">
      <c r="B1279" t="s">
        <v>1133</v>
      </c>
      <c r="C1279" t="s">
        <v>1177</v>
      </c>
      <c r="D1279" t="s">
        <v>17</v>
      </c>
      <c r="E1279" s="11"/>
      <c r="F1279" s="9"/>
      <c r="G1279" s="10">
        <v>1</v>
      </c>
      <c r="H1279">
        <v>1</v>
      </c>
      <c r="I1279">
        <v>0</v>
      </c>
      <c r="J1279" s="9"/>
      <c r="K1279" s="9">
        <v>12.5</v>
      </c>
      <c r="L1279" s="9">
        <v>0</v>
      </c>
      <c r="M1279" s="1">
        <f t="shared" si="50"/>
        <v>12.5</v>
      </c>
      <c r="N1279" s="11">
        <f t="shared" si="48"/>
        <v>12.5</v>
      </c>
      <c r="O1279" s="9">
        <v>25</v>
      </c>
      <c r="P1279" s="9"/>
      <c r="Q1279" s="9"/>
      <c r="R1279" s="9"/>
      <c r="S1279" s="9"/>
      <c r="T1279" s="9"/>
      <c r="U1279" s="9"/>
    </row>
    <row r="1280" spans="2:21" ht="14" customHeight="1" x14ac:dyDescent="0.2">
      <c r="B1280" t="s">
        <v>1133</v>
      </c>
      <c r="C1280" t="s">
        <v>1178</v>
      </c>
      <c r="D1280" t="s">
        <v>17</v>
      </c>
      <c r="E1280" s="11"/>
      <c r="F1280" s="9"/>
      <c r="G1280" s="10">
        <v>1</v>
      </c>
      <c r="H1280">
        <v>1</v>
      </c>
      <c r="I1280">
        <v>0</v>
      </c>
      <c r="J1280" s="9"/>
      <c r="K1280" s="9">
        <v>12.5</v>
      </c>
      <c r="L1280" s="9">
        <v>0</v>
      </c>
      <c r="M1280" s="1">
        <f t="shared" si="50"/>
        <v>12.5</v>
      </c>
      <c r="N1280" s="11">
        <f t="shared" si="48"/>
        <v>12.5</v>
      </c>
      <c r="O1280" s="9">
        <v>25</v>
      </c>
      <c r="P1280" s="9"/>
      <c r="Q1280" s="9"/>
      <c r="R1280" s="9"/>
      <c r="S1280" s="9"/>
      <c r="T1280" s="9"/>
      <c r="U1280" s="9"/>
    </row>
    <row r="1281" spans="2:21" ht="14" customHeight="1" x14ac:dyDescent="0.2">
      <c r="B1281" t="s">
        <v>1133</v>
      </c>
      <c r="C1281" t="s">
        <v>1179</v>
      </c>
      <c r="D1281" t="s">
        <v>34</v>
      </c>
      <c r="E1281" s="11"/>
      <c r="F1281" s="9"/>
      <c r="G1281" s="10">
        <v>1</v>
      </c>
      <c r="H1281">
        <v>1</v>
      </c>
      <c r="I1281">
        <v>0</v>
      </c>
      <c r="J1281" s="9"/>
      <c r="K1281" s="9">
        <v>12.5</v>
      </c>
      <c r="L1281" s="9">
        <v>0</v>
      </c>
      <c r="M1281" s="1">
        <f t="shared" si="50"/>
        <v>12.5</v>
      </c>
      <c r="N1281" s="11">
        <f t="shared" si="48"/>
        <v>12.5</v>
      </c>
      <c r="O1281" s="9">
        <v>25</v>
      </c>
      <c r="P1281" s="9"/>
      <c r="Q1281" s="9"/>
      <c r="R1281" s="9"/>
      <c r="S1281" s="9"/>
      <c r="T1281" s="9"/>
      <c r="U1281" s="9"/>
    </row>
    <row r="1282" spans="2:21" ht="14" customHeight="1" x14ac:dyDescent="0.2">
      <c r="B1282" t="s">
        <v>1180</v>
      </c>
      <c r="C1282" t="s">
        <v>1181</v>
      </c>
      <c r="D1282" t="s">
        <v>27</v>
      </c>
      <c r="E1282" s="11"/>
      <c r="F1282" s="9"/>
      <c r="G1282" s="10">
        <v>1</v>
      </c>
      <c r="H1282">
        <v>1</v>
      </c>
      <c r="I1282">
        <v>0</v>
      </c>
      <c r="J1282" s="9"/>
      <c r="K1282" s="9">
        <v>12.5</v>
      </c>
      <c r="L1282" s="9">
        <v>0</v>
      </c>
      <c r="M1282" s="1">
        <f t="shared" si="50"/>
        <v>12.5</v>
      </c>
      <c r="N1282" s="11">
        <f t="shared" si="48"/>
        <v>12.5</v>
      </c>
      <c r="O1282" s="9">
        <v>30</v>
      </c>
      <c r="P1282" s="9"/>
      <c r="Q1282" s="9"/>
      <c r="R1282" s="9"/>
      <c r="S1282" s="9"/>
      <c r="T1282" s="9"/>
      <c r="U1282" s="9"/>
    </row>
    <row r="1283" spans="2:21" ht="14" customHeight="1" x14ac:dyDescent="0.2">
      <c r="B1283" t="s">
        <v>1133</v>
      </c>
      <c r="C1283" t="s">
        <v>1182</v>
      </c>
      <c r="D1283" t="s">
        <v>34</v>
      </c>
      <c r="E1283" s="11"/>
      <c r="F1283" s="9"/>
      <c r="G1283" s="10">
        <v>1</v>
      </c>
      <c r="H1283">
        <v>1</v>
      </c>
      <c r="I1283">
        <v>0</v>
      </c>
      <c r="J1283" s="9"/>
      <c r="K1283" s="9">
        <v>12.5</v>
      </c>
      <c r="L1283" s="9">
        <v>0</v>
      </c>
      <c r="M1283" s="1">
        <f t="shared" si="50"/>
        <v>12.5</v>
      </c>
      <c r="N1283" s="11">
        <f t="shared" ref="N1283:N1346" si="51">G1283*K1283</f>
        <v>12.5</v>
      </c>
      <c r="O1283" s="9">
        <v>30</v>
      </c>
      <c r="P1283" s="9"/>
      <c r="Q1283" s="9"/>
      <c r="R1283" s="9"/>
      <c r="S1283" s="9"/>
      <c r="T1283" s="9"/>
      <c r="U1283" s="9"/>
    </row>
    <row r="1284" spans="2:21" x14ac:dyDescent="0.2">
      <c r="B1284" t="s">
        <v>1117</v>
      </c>
      <c r="C1284" t="s">
        <v>1183</v>
      </c>
      <c r="D1284" t="s">
        <v>97</v>
      </c>
      <c r="E1284" s="11"/>
      <c r="F1284" s="9"/>
      <c r="G1284" s="10">
        <v>1</v>
      </c>
      <c r="H1284">
        <v>1</v>
      </c>
      <c r="I1284">
        <v>0</v>
      </c>
      <c r="J1284" s="9"/>
      <c r="K1284" s="9">
        <v>12.5</v>
      </c>
      <c r="L1284" s="9">
        <v>0</v>
      </c>
      <c r="M1284" s="1">
        <f t="shared" si="50"/>
        <v>12.5</v>
      </c>
      <c r="N1284" s="11">
        <f t="shared" si="51"/>
        <v>12.5</v>
      </c>
      <c r="O1284" s="9">
        <v>30</v>
      </c>
      <c r="P1284" s="9"/>
      <c r="Q1284" s="9"/>
      <c r="R1284" s="9"/>
      <c r="S1284" s="9"/>
      <c r="T1284" s="9"/>
      <c r="U1284" s="9"/>
    </row>
    <row r="1285" spans="2:21" x14ac:dyDescent="0.2">
      <c r="B1285" t="s">
        <v>1133</v>
      </c>
      <c r="C1285" t="s">
        <v>1183</v>
      </c>
      <c r="D1285" t="s">
        <v>17</v>
      </c>
      <c r="E1285" s="11"/>
      <c r="F1285" s="9"/>
      <c r="G1285" s="10">
        <v>1</v>
      </c>
      <c r="H1285">
        <v>1</v>
      </c>
      <c r="I1285">
        <v>0</v>
      </c>
      <c r="J1285" s="9"/>
      <c r="K1285" s="9">
        <v>12.5</v>
      </c>
      <c r="L1285" s="9">
        <v>0</v>
      </c>
      <c r="M1285" s="1">
        <f t="shared" si="50"/>
        <v>12.5</v>
      </c>
      <c r="N1285" s="11">
        <f t="shared" si="51"/>
        <v>12.5</v>
      </c>
      <c r="O1285" s="9">
        <v>30</v>
      </c>
      <c r="P1285" s="9"/>
      <c r="Q1285" s="9"/>
      <c r="R1285" s="9"/>
      <c r="S1285" s="9"/>
      <c r="T1285" s="9"/>
      <c r="U1285" s="9"/>
    </row>
    <row r="1286" spans="2:21" x14ac:dyDescent="0.2">
      <c r="B1286" t="s">
        <v>1133</v>
      </c>
      <c r="C1286" t="s">
        <v>1184</v>
      </c>
      <c r="D1286" t="s">
        <v>34</v>
      </c>
      <c r="E1286" s="11"/>
      <c r="F1286" s="9"/>
      <c r="G1286" s="10">
        <v>1</v>
      </c>
      <c r="H1286">
        <v>1</v>
      </c>
      <c r="I1286">
        <v>0</v>
      </c>
      <c r="J1286" s="9"/>
      <c r="K1286" s="9">
        <v>12.5</v>
      </c>
      <c r="L1286" s="9">
        <v>0</v>
      </c>
      <c r="M1286" s="1">
        <f t="shared" si="50"/>
        <v>12.5</v>
      </c>
      <c r="N1286" s="11">
        <f t="shared" si="51"/>
        <v>12.5</v>
      </c>
      <c r="O1286" s="9">
        <v>30</v>
      </c>
      <c r="P1286" s="9"/>
      <c r="Q1286" s="9"/>
      <c r="R1286" s="9"/>
      <c r="S1286" s="9"/>
      <c r="T1286" s="9"/>
      <c r="U1286" s="9"/>
    </row>
    <row r="1287" spans="2:21" x14ac:dyDescent="0.2">
      <c r="B1287" t="s">
        <v>1117</v>
      </c>
      <c r="C1287" t="s">
        <v>1185</v>
      </c>
      <c r="D1287" t="s">
        <v>97</v>
      </c>
      <c r="E1287" s="11"/>
      <c r="F1287" s="9"/>
      <c r="G1287" s="10">
        <v>1</v>
      </c>
      <c r="H1287">
        <v>1</v>
      </c>
      <c r="I1287">
        <v>0</v>
      </c>
      <c r="J1287" s="9"/>
      <c r="K1287" s="9">
        <v>12.5</v>
      </c>
      <c r="L1287" s="9">
        <v>0</v>
      </c>
      <c r="M1287" s="1">
        <f t="shared" si="50"/>
        <v>12.5</v>
      </c>
      <c r="N1287" s="11">
        <f t="shared" si="51"/>
        <v>12.5</v>
      </c>
      <c r="O1287" s="9">
        <v>30</v>
      </c>
      <c r="P1287" s="9"/>
      <c r="Q1287" s="9"/>
      <c r="R1287" s="9"/>
      <c r="S1287" s="9"/>
      <c r="T1287" s="9"/>
      <c r="U1287" s="9"/>
    </row>
    <row r="1288" spans="2:21" x14ac:dyDescent="0.2">
      <c r="B1288" t="s">
        <v>1117</v>
      </c>
      <c r="C1288" t="s">
        <v>1186</v>
      </c>
      <c r="D1288" t="s">
        <v>97</v>
      </c>
      <c r="E1288" s="11"/>
      <c r="F1288" s="9"/>
      <c r="G1288" s="10">
        <v>1</v>
      </c>
      <c r="H1288">
        <v>1</v>
      </c>
      <c r="I1288">
        <v>0</v>
      </c>
      <c r="J1288" s="9"/>
      <c r="K1288" s="9">
        <v>12.5</v>
      </c>
      <c r="L1288" s="9">
        <v>0</v>
      </c>
      <c r="M1288" s="1">
        <f t="shared" si="50"/>
        <v>12.5</v>
      </c>
      <c r="N1288" s="11">
        <f t="shared" si="51"/>
        <v>12.5</v>
      </c>
      <c r="O1288" s="9">
        <v>30</v>
      </c>
      <c r="P1288" s="9"/>
      <c r="Q1288" s="9"/>
      <c r="R1288" s="9"/>
      <c r="S1288" s="9"/>
      <c r="T1288" s="9"/>
      <c r="U1288" s="9"/>
    </row>
    <row r="1289" spans="2:21" x14ac:dyDescent="0.2">
      <c r="B1289" t="s">
        <v>1133</v>
      </c>
      <c r="C1289" t="s">
        <v>1187</v>
      </c>
      <c r="D1289" t="s">
        <v>17</v>
      </c>
      <c r="E1289" s="11"/>
      <c r="F1289" s="9"/>
      <c r="G1289" s="10">
        <v>1</v>
      </c>
      <c r="H1289">
        <v>1</v>
      </c>
      <c r="I1289">
        <v>0</v>
      </c>
      <c r="J1289" s="9"/>
      <c r="K1289" s="9">
        <v>20</v>
      </c>
      <c r="L1289" s="9">
        <v>0</v>
      </c>
      <c r="M1289" s="1">
        <f t="shared" si="50"/>
        <v>20</v>
      </c>
      <c r="N1289" s="11">
        <f t="shared" si="51"/>
        <v>20</v>
      </c>
      <c r="O1289" s="9">
        <v>30</v>
      </c>
      <c r="P1289" s="9"/>
      <c r="Q1289" s="9"/>
      <c r="R1289" s="9"/>
      <c r="S1289" s="9"/>
      <c r="T1289" s="9"/>
      <c r="U1289" s="9"/>
    </row>
    <row r="1290" spans="2:21" x14ac:dyDescent="0.2">
      <c r="B1290" t="s">
        <v>1117</v>
      </c>
      <c r="C1290" t="s">
        <v>1188</v>
      </c>
      <c r="D1290" t="s">
        <v>97</v>
      </c>
      <c r="E1290" s="11"/>
      <c r="F1290" s="9"/>
      <c r="G1290" s="10">
        <v>1</v>
      </c>
      <c r="H1290">
        <v>1</v>
      </c>
      <c r="I1290">
        <v>0</v>
      </c>
      <c r="J1290" s="9"/>
      <c r="K1290" s="9">
        <v>20</v>
      </c>
      <c r="L1290" s="9">
        <v>0</v>
      </c>
      <c r="M1290" s="1">
        <f t="shared" si="50"/>
        <v>20</v>
      </c>
      <c r="N1290" s="11">
        <f t="shared" si="51"/>
        <v>20</v>
      </c>
      <c r="O1290" s="9">
        <v>30</v>
      </c>
      <c r="P1290" s="9"/>
      <c r="Q1290" s="9"/>
      <c r="R1290" s="9"/>
      <c r="S1290" s="9"/>
      <c r="T1290" s="9"/>
      <c r="U1290" s="9"/>
    </row>
    <row r="1291" spans="2:21" x14ac:dyDescent="0.2">
      <c r="B1291" t="s">
        <v>1117</v>
      </c>
      <c r="C1291" t="s">
        <v>1189</v>
      </c>
      <c r="D1291" t="s">
        <v>97</v>
      </c>
      <c r="E1291" s="11"/>
      <c r="F1291" s="9"/>
      <c r="G1291" s="10">
        <v>1</v>
      </c>
      <c r="H1291">
        <v>1</v>
      </c>
      <c r="I1291">
        <v>0</v>
      </c>
      <c r="J1291" s="9"/>
      <c r="K1291" s="9">
        <v>20</v>
      </c>
      <c r="L1291" s="9">
        <v>0</v>
      </c>
      <c r="M1291" s="1">
        <f t="shared" si="50"/>
        <v>20</v>
      </c>
      <c r="N1291" s="11">
        <f t="shared" si="51"/>
        <v>20</v>
      </c>
      <c r="O1291" s="9">
        <v>30</v>
      </c>
      <c r="P1291" s="9"/>
      <c r="Q1291" s="9"/>
      <c r="R1291" s="9"/>
      <c r="S1291" s="9"/>
      <c r="T1291" s="9"/>
      <c r="U1291" s="9"/>
    </row>
    <row r="1292" spans="2:21" x14ac:dyDescent="0.2">
      <c r="B1292" t="s">
        <v>1117</v>
      </c>
      <c r="C1292" t="s">
        <v>1190</v>
      </c>
      <c r="D1292" t="s">
        <v>97</v>
      </c>
      <c r="E1292" s="11"/>
      <c r="F1292" s="9"/>
      <c r="G1292" s="10">
        <v>1</v>
      </c>
      <c r="H1292">
        <v>1</v>
      </c>
      <c r="I1292">
        <v>0</v>
      </c>
      <c r="J1292" s="9"/>
      <c r="K1292" s="9">
        <v>20</v>
      </c>
      <c r="L1292" s="9">
        <v>0</v>
      </c>
      <c r="M1292" s="1">
        <f t="shared" si="50"/>
        <v>20</v>
      </c>
      <c r="N1292" s="11">
        <f t="shared" si="51"/>
        <v>20</v>
      </c>
      <c r="O1292" s="9">
        <v>30</v>
      </c>
      <c r="P1292" s="9"/>
      <c r="Q1292" s="9"/>
      <c r="R1292" s="9"/>
      <c r="S1292" s="9"/>
      <c r="T1292" s="9"/>
      <c r="U1292" s="9"/>
    </row>
    <row r="1293" spans="2:21" x14ac:dyDescent="0.2">
      <c r="B1293" t="s">
        <v>1120</v>
      </c>
      <c r="C1293" t="s">
        <v>1191</v>
      </c>
      <c r="D1293" t="s">
        <v>797</v>
      </c>
      <c r="E1293" s="11"/>
      <c r="F1293" s="9"/>
      <c r="G1293" s="10">
        <v>1</v>
      </c>
      <c r="H1293">
        <v>1</v>
      </c>
      <c r="I1293">
        <v>0</v>
      </c>
      <c r="J1293" s="9"/>
      <c r="K1293" s="9">
        <v>20</v>
      </c>
      <c r="L1293" s="9">
        <v>0</v>
      </c>
      <c r="M1293" s="1">
        <f t="shared" si="50"/>
        <v>20</v>
      </c>
      <c r="N1293" s="11">
        <f t="shared" si="51"/>
        <v>20</v>
      </c>
      <c r="O1293" s="9"/>
      <c r="P1293" s="9"/>
      <c r="Q1293" s="9"/>
      <c r="R1293" s="9"/>
      <c r="S1293" s="9"/>
      <c r="T1293" s="9"/>
      <c r="U1293" s="9"/>
    </row>
    <row r="1294" spans="2:21" x14ac:dyDescent="0.2">
      <c r="B1294" t="s">
        <v>1117</v>
      </c>
      <c r="C1294" t="s">
        <v>1191</v>
      </c>
      <c r="D1294" t="s">
        <v>378</v>
      </c>
      <c r="E1294" s="11"/>
      <c r="F1294" s="9"/>
      <c r="G1294" s="10">
        <v>1</v>
      </c>
      <c r="H1294">
        <v>1</v>
      </c>
      <c r="I1294">
        <v>0</v>
      </c>
      <c r="J1294" s="9"/>
      <c r="K1294" s="9">
        <v>20</v>
      </c>
      <c r="L1294" s="9">
        <v>0</v>
      </c>
      <c r="M1294" s="1">
        <f t="shared" si="50"/>
        <v>20</v>
      </c>
      <c r="N1294" s="11">
        <f t="shared" si="51"/>
        <v>20</v>
      </c>
      <c r="O1294" s="9"/>
      <c r="P1294" s="9"/>
      <c r="Q1294" s="9"/>
      <c r="R1294" s="9"/>
      <c r="S1294" s="9"/>
      <c r="T1294" s="9"/>
      <c r="U1294" s="9"/>
    </row>
    <row r="1295" spans="2:21" x14ac:dyDescent="0.2">
      <c r="B1295" t="s">
        <v>1117</v>
      </c>
      <c r="C1295" t="s">
        <v>1192</v>
      </c>
      <c r="D1295" t="s">
        <v>378</v>
      </c>
      <c r="E1295" s="11"/>
      <c r="F1295" s="9"/>
      <c r="G1295" s="10">
        <v>1</v>
      </c>
      <c r="H1295">
        <v>1</v>
      </c>
      <c r="I1295">
        <v>0</v>
      </c>
      <c r="J1295" s="9"/>
      <c r="K1295" s="9">
        <v>20</v>
      </c>
      <c r="L1295" s="9">
        <v>0</v>
      </c>
      <c r="M1295" s="1">
        <f t="shared" si="50"/>
        <v>20</v>
      </c>
      <c r="N1295" s="11">
        <f t="shared" si="51"/>
        <v>20</v>
      </c>
      <c r="O1295" s="9"/>
      <c r="P1295" s="9"/>
      <c r="Q1295" s="9"/>
      <c r="R1295" s="9"/>
      <c r="S1295" s="9"/>
      <c r="T1295" s="9"/>
      <c r="U1295" s="9"/>
    </row>
    <row r="1296" spans="2:21" x14ac:dyDescent="0.2">
      <c r="B1296" t="s">
        <v>1120</v>
      </c>
      <c r="C1296" t="s">
        <v>1192</v>
      </c>
      <c r="D1296" t="s">
        <v>797</v>
      </c>
      <c r="E1296" s="11"/>
      <c r="F1296" s="9"/>
      <c r="G1296" s="10">
        <v>1</v>
      </c>
      <c r="H1296">
        <v>1</v>
      </c>
      <c r="I1296">
        <v>0</v>
      </c>
      <c r="J1296" s="9"/>
      <c r="K1296" s="9">
        <v>20</v>
      </c>
      <c r="L1296" s="9">
        <v>0</v>
      </c>
      <c r="M1296" s="1">
        <f t="shared" si="50"/>
        <v>20</v>
      </c>
      <c r="N1296" s="11">
        <f t="shared" si="51"/>
        <v>20</v>
      </c>
      <c r="O1296" s="9"/>
      <c r="P1296" s="9"/>
      <c r="Q1296" s="9"/>
      <c r="R1296" s="9"/>
      <c r="S1296" s="9"/>
      <c r="T1296" s="9"/>
      <c r="U1296" s="9"/>
    </row>
    <row r="1297" spans="2:21" x14ac:dyDescent="0.2">
      <c r="B1297" t="s">
        <v>1133</v>
      </c>
      <c r="C1297" t="s">
        <v>1192</v>
      </c>
      <c r="D1297" t="s">
        <v>377</v>
      </c>
      <c r="E1297" s="11"/>
      <c r="F1297" s="9"/>
      <c r="G1297" s="10">
        <v>1</v>
      </c>
      <c r="H1297">
        <v>1</v>
      </c>
      <c r="I1297">
        <v>0</v>
      </c>
      <c r="J1297" s="9"/>
      <c r="K1297" s="9">
        <v>20</v>
      </c>
      <c r="L1297" s="9">
        <v>0</v>
      </c>
      <c r="M1297" s="1">
        <f t="shared" si="50"/>
        <v>20</v>
      </c>
      <c r="N1297" s="11">
        <f t="shared" si="51"/>
        <v>20</v>
      </c>
      <c r="O1297" s="9"/>
      <c r="P1297" s="9"/>
      <c r="Q1297" s="9"/>
      <c r="R1297" s="9"/>
      <c r="S1297" s="9"/>
      <c r="T1297" s="9"/>
      <c r="U1297" s="9"/>
    </row>
    <row r="1298" spans="2:21" x14ac:dyDescent="0.2">
      <c r="B1298" t="s">
        <v>1117</v>
      </c>
      <c r="C1298" t="s">
        <v>1193</v>
      </c>
      <c r="D1298" t="s">
        <v>378</v>
      </c>
      <c r="E1298" s="11"/>
      <c r="F1298" s="9"/>
      <c r="G1298" s="10">
        <v>1</v>
      </c>
      <c r="H1298">
        <v>1</v>
      </c>
      <c r="I1298">
        <v>0</v>
      </c>
      <c r="J1298" s="9"/>
      <c r="K1298" s="9">
        <v>20</v>
      </c>
      <c r="L1298" s="9">
        <v>0</v>
      </c>
      <c r="M1298" s="1">
        <f t="shared" si="50"/>
        <v>20</v>
      </c>
      <c r="N1298" s="11">
        <f t="shared" si="51"/>
        <v>20</v>
      </c>
      <c r="O1298" s="9"/>
      <c r="P1298" s="9"/>
      <c r="Q1298" s="9"/>
      <c r="R1298" s="9"/>
      <c r="S1298" s="9"/>
      <c r="T1298" s="9"/>
      <c r="U1298" s="9"/>
    </row>
    <row r="1299" spans="2:21" x14ac:dyDescent="0.2">
      <c r="B1299" t="s">
        <v>1117</v>
      </c>
      <c r="C1299" t="s">
        <v>1194</v>
      </c>
      <c r="D1299" t="s">
        <v>378</v>
      </c>
      <c r="E1299" s="11"/>
      <c r="F1299" s="9"/>
      <c r="G1299" s="10">
        <v>1</v>
      </c>
      <c r="H1299">
        <v>1</v>
      </c>
      <c r="I1299">
        <v>0</v>
      </c>
      <c r="J1299" s="9"/>
      <c r="K1299" s="9">
        <v>20</v>
      </c>
      <c r="L1299" s="9">
        <v>0</v>
      </c>
      <c r="M1299" s="1">
        <f t="shared" si="50"/>
        <v>20</v>
      </c>
      <c r="N1299" s="11">
        <f t="shared" si="51"/>
        <v>20</v>
      </c>
      <c r="O1299" s="9"/>
      <c r="P1299" s="9"/>
      <c r="Q1299" s="9"/>
      <c r="R1299" s="9"/>
      <c r="S1299" s="9"/>
      <c r="T1299" s="9"/>
      <c r="U1299" s="9"/>
    </row>
    <row r="1300" spans="2:21" x14ac:dyDescent="0.2">
      <c r="B1300" t="s">
        <v>1117</v>
      </c>
      <c r="C1300" t="s">
        <v>1195</v>
      </c>
      <c r="D1300" t="s">
        <v>1196</v>
      </c>
      <c r="E1300" s="11"/>
      <c r="F1300" s="9"/>
      <c r="G1300" s="10">
        <v>1</v>
      </c>
      <c r="H1300">
        <v>1</v>
      </c>
      <c r="I1300">
        <v>0</v>
      </c>
      <c r="J1300" s="9"/>
      <c r="K1300" s="9">
        <v>20</v>
      </c>
      <c r="L1300" s="9">
        <v>0</v>
      </c>
      <c r="M1300" s="1">
        <f t="shared" si="50"/>
        <v>20</v>
      </c>
      <c r="N1300" s="11">
        <f t="shared" si="51"/>
        <v>20</v>
      </c>
      <c r="O1300" s="9"/>
      <c r="P1300" s="9"/>
      <c r="Q1300" s="9"/>
      <c r="R1300" s="9"/>
      <c r="S1300" s="9"/>
      <c r="T1300" s="9"/>
      <c r="U1300" s="9"/>
    </row>
    <row r="1301" spans="2:21" x14ac:dyDescent="0.2">
      <c r="B1301" t="s">
        <v>1120</v>
      </c>
      <c r="C1301" t="s">
        <v>1197</v>
      </c>
      <c r="D1301" t="s">
        <v>380</v>
      </c>
      <c r="E1301" s="11"/>
      <c r="F1301" s="9"/>
      <c r="G1301" s="10">
        <v>1</v>
      </c>
      <c r="H1301">
        <v>1</v>
      </c>
      <c r="I1301">
        <v>0</v>
      </c>
      <c r="J1301" s="9"/>
      <c r="K1301" s="9">
        <v>20</v>
      </c>
      <c r="L1301" s="9">
        <v>0</v>
      </c>
      <c r="M1301" s="1">
        <f t="shared" si="50"/>
        <v>20</v>
      </c>
      <c r="N1301" s="11">
        <f t="shared" si="51"/>
        <v>20</v>
      </c>
      <c r="O1301" s="9"/>
      <c r="P1301" s="9"/>
      <c r="Q1301" s="9"/>
      <c r="R1301" s="9"/>
      <c r="S1301" s="9"/>
      <c r="T1301" s="9"/>
      <c r="U1301" s="9"/>
    </row>
    <row r="1302" spans="2:21" x14ac:dyDescent="0.2">
      <c r="B1302" t="s">
        <v>1120</v>
      </c>
      <c r="C1302" t="s">
        <v>1198</v>
      </c>
      <c r="D1302" t="s">
        <v>91</v>
      </c>
      <c r="E1302" s="11"/>
      <c r="F1302" s="9"/>
      <c r="G1302" s="10">
        <v>1</v>
      </c>
      <c r="H1302">
        <v>1</v>
      </c>
      <c r="I1302">
        <v>0</v>
      </c>
      <c r="J1302" s="9"/>
      <c r="K1302" s="9">
        <v>20</v>
      </c>
      <c r="L1302" s="9">
        <v>0</v>
      </c>
      <c r="M1302" s="1">
        <f t="shared" si="50"/>
        <v>20</v>
      </c>
      <c r="N1302" s="11">
        <f t="shared" si="51"/>
        <v>20</v>
      </c>
      <c r="O1302" s="9"/>
      <c r="P1302" s="9"/>
      <c r="Q1302" s="9"/>
      <c r="R1302" s="9"/>
      <c r="S1302" s="9"/>
      <c r="T1302" s="9"/>
      <c r="U1302" s="9"/>
    </row>
    <row r="1303" spans="2:21" x14ac:dyDescent="0.2">
      <c r="B1303" t="s">
        <v>1117</v>
      </c>
      <c r="C1303" t="s">
        <v>1199</v>
      </c>
      <c r="D1303" t="s">
        <v>97</v>
      </c>
      <c r="E1303" s="11"/>
      <c r="F1303" s="9"/>
      <c r="G1303" s="10">
        <v>1</v>
      </c>
      <c r="H1303">
        <v>1</v>
      </c>
      <c r="I1303">
        <v>0</v>
      </c>
      <c r="J1303" s="9"/>
      <c r="K1303" s="9">
        <v>20</v>
      </c>
      <c r="L1303" s="9">
        <v>0</v>
      </c>
      <c r="M1303" s="1">
        <f t="shared" si="50"/>
        <v>20</v>
      </c>
      <c r="N1303" s="11">
        <f t="shared" si="51"/>
        <v>20</v>
      </c>
      <c r="O1303" s="9"/>
      <c r="P1303" s="9"/>
      <c r="Q1303" s="9"/>
      <c r="R1303" s="9"/>
      <c r="S1303" s="9"/>
      <c r="T1303" s="9"/>
      <c r="U1303" s="9"/>
    </row>
    <row r="1304" spans="2:21" x14ac:dyDescent="0.2">
      <c r="B1304" t="s">
        <v>1133</v>
      </c>
      <c r="C1304" t="s">
        <v>1200</v>
      </c>
      <c r="D1304" t="s">
        <v>34</v>
      </c>
      <c r="E1304" s="11"/>
      <c r="F1304" s="9"/>
      <c r="G1304" s="10">
        <v>1</v>
      </c>
      <c r="H1304">
        <v>1</v>
      </c>
      <c r="I1304">
        <v>0</v>
      </c>
      <c r="J1304" s="9"/>
      <c r="K1304" s="9">
        <v>20</v>
      </c>
      <c r="L1304" s="9">
        <v>0</v>
      </c>
      <c r="M1304" s="1">
        <f t="shared" si="50"/>
        <v>20</v>
      </c>
      <c r="N1304" s="11">
        <f t="shared" si="51"/>
        <v>20</v>
      </c>
      <c r="O1304" s="9"/>
      <c r="P1304" s="9"/>
      <c r="Q1304" s="9"/>
      <c r="R1304" s="9"/>
      <c r="S1304" s="9"/>
      <c r="T1304" s="9"/>
      <c r="U1304" s="9"/>
    </row>
    <row r="1305" spans="2:21" x14ac:dyDescent="0.2">
      <c r="B1305" t="s">
        <v>1133</v>
      </c>
      <c r="C1305" t="s">
        <v>1201</v>
      </c>
      <c r="D1305" t="s">
        <v>17</v>
      </c>
      <c r="E1305" s="11"/>
      <c r="F1305" s="9"/>
      <c r="G1305" s="10">
        <v>2</v>
      </c>
      <c r="H1305">
        <v>2</v>
      </c>
      <c r="I1305">
        <v>0</v>
      </c>
      <c r="J1305" s="9"/>
      <c r="K1305" s="9">
        <v>20</v>
      </c>
      <c r="L1305" s="9">
        <v>0</v>
      </c>
      <c r="M1305" s="1">
        <f t="shared" si="50"/>
        <v>20</v>
      </c>
      <c r="N1305" s="11">
        <f t="shared" si="51"/>
        <v>40</v>
      </c>
      <c r="O1305" s="9"/>
      <c r="P1305" s="9"/>
      <c r="Q1305" s="9"/>
      <c r="R1305" s="9"/>
      <c r="S1305" s="9"/>
      <c r="T1305" s="9"/>
      <c r="U1305" s="9"/>
    </row>
    <row r="1306" spans="2:21" x14ac:dyDescent="0.2">
      <c r="B1306" t="s">
        <v>1133</v>
      </c>
      <c r="C1306" t="s">
        <v>1202</v>
      </c>
      <c r="D1306" t="s">
        <v>17</v>
      </c>
      <c r="E1306" s="11"/>
      <c r="F1306" s="9"/>
      <c r="G1306" s="10">
        <v>1</v>
      </c>
      <c r="H1306">
        <v>1</v>
      </c>
      <c r="I1306">
        <v>0</v>
      </c>
      <c r="J1306" s="9"/>
      <c r="K1306" s="9">
        <v>20</v>
      </c>
      <c r="L1306" s="9">
        <v>0</v>
      </c>
      <c r="M1306" s="1">
        <f t="shared" si="50"/>
        <v>20</v>
      </c>
      <c r="N1306" s="11">
        <f t="shared" si="51"/>
        <v>20</v>
      </c>
      <c r="O1306" s="9"/>
      <c r="P1306" s="9"/>
      <c r="Q1306" s="9"/>
      <c r="R1306" s="9"/>
      <c r="S1306" s="9"/>
      <c r="T1306" s="9"/>
      <c r="U1306" s="9"/>
    </row>
    <row r="1307" spans="2:21" x14ac:dyDescent="0.2">
      <c r="B1307" t="s">
        <v>1117</v>
      </c>
      <c r="C1307" t="s">
        <v>1203</v>
      </c>
      <c r="D1307" t="s">
        <v>97</v>
      </c>
      <c r="E1307" s="11"/>
      <c r="F1307" s="9"/>
      <c r="G1307" s="10">
        <v>1</v>
      </c>
      <c r="H1307">
        <v>1</v>
      </c>
      <c r="I1307">
        <v>0</v>
      </c>
      <c r="J1307" s="9"/>
      <c r="K1307" s="9">
        <v>20</v>
      </c>
      <c r="L1307" s="9">
        <v>0</v>
      </c>
      <c r="M1307" s="1">
        <f t="shared" si="50"/>
        <v>20</v>
      </c>
      <c r="N1307" s="11">
        <f t="shared" si="51"/>
        <v>20</v>
      </c>
      <c r="O1307" s="9"/>
      <c r="P1307" s="9"/>
      <c r="Q1307" s="9"/>
      <c r="R1307" s="9"/>
      <c r="S1307" s="9"/>
      <c r="T1307" s="9"/>
      <c r="U1307" s="9"/>
    </row>
    <row r="1308" spans="2:21" x14ac:dyDescent="0.2">
      <c r="B1308" t="s">
        <v>1133</v>
      </c>
      <c r="C1308" t="s">
        <v>1204</v>
      </c>
      <c r="D1308" t="s">
        <v>34</v>
      </c>
      <c r="E1308" s="11"/>
      <c r="F1308" s="9"/>
      <c r="G1308" s="10">
        <v>1</v>
      </c>
      <c r="H1308">
        <v>1</v>
      </c>
      <c r="I1308">
        <v>0</v>
      </c>
      <c r="J1308" s="9"/>
      <c r="K1308" s="9">
        <v>20</v>
      </c>
      <c r="L1308" s="9">
        <v>0</v>
      </c>
      <c r="M1308" s="1">
        <f t="shared" si="50"/>
        <v>20</v>
      </c>
      <c r="N1308" s="11">
        <f t="shared" si="51"/>
        <v>20</v>
      </c>
      <c r="O1308" s="9"/>
      <c r="P1308" s="9"/>
      <c r="Q1308" s="9"/>
      <c r="R1308" s="9"/>
      <c r="S1308" s="9"/>
      <c r="T1308" s="9"/>
      <c r="U1308" s="9"/>
    </row>
    <row r="1309" spans="2:21" x14ac:dyDescent="0.2">
      <c r="B1309" t="s">
        <v>1133</v>
      </c>
      <c r="C1309" t="s">
        <v>1205</v>
      </c>
      <c r="D1309" t="s">
        <v>17</v>
      </c>
      <c r="E1309" s="11"/>
      <c r="F1309" s="9"/>
      <c r="G1309" s="10">
        <v>1</v>
      </c>
      <c r="H1309">
        <v>1</v>
      </c>
      <c r="I1309">
        <v>0</v>
      </c>
      <c r="J1309" s="9"/>
      <c r="K1309" s="9">
        <v>20</v>
      </c>
      <c r="L1309" s="9">
        <v>0</v>
      </c>
      <c r="M1309" s="1">
        <f t="shared" si="50"/>
        <v>20</v>
      </c>
      <c r="N1309" s="11">
        <f t="shared" si="51"/>
        <v>20</v>
      </c>
      <c r="O1309" s="9"/>
      <c r="P1309" s="9"/>
      <c r="Q1309" s="9"/>
      <c r="R1309" s="9"/>
      <c r="S1309" s="9"/>
      <c r="T1309" s="9"/>
      <c r="U1309" s="9"/>
    </row>
    <row r="1310" spans="2:21" x14ac:dyDescent="0.2">
      <c r="B1310" t="s">
        <v>1117</v>
      </c>
      <c r="C1310" t="s">
        <v>1206</v>
      </c>
      <c r="D1310" t="s">
        <v>97</v>
      </c>
      <c r="E1310" s="11"/>
      <c r="F1310" s="9"/>
      <c r="G1310" s="10">
        <v>1</v>
      </c>
      <c r="H1310">
        <v>1</v>
      </c>
      <c r="I1310">
        <v>0</v>
      </c>
      <c r="J1310" s="9"/>
      <c r="K1310" s="9">
        <v>20</v>
      </c>
      <c r="L1310" s="9">
        <v>0</v>
      </c>
      <c r="M1310" s="1">
        <f t="shared" si="50"/>
        <v>20</v>
      </c>
      <c r="N1310" s="11">
        <f t="shared" si="51"/>
        <v>20</v>
      </c>
      <c r="O1310" s="9"/>
      <c r="P1310" s="9"/>
      <c r="Q1310" s="9"/>
      <c r="R1310" s="9"/>
      <c r="S1310" s="9"/>
      <c r="T1310" s="9"/>
      <c r="U1310" s="9"/>
    </row>
    <row r="1311" spans="2:21" x14ac:dyDescent="0.2">
      <c r="B1311" t="s">
        <v>1120</v>
      </c>
      <c r="C1311" t="s">
        <v>1207</v>
      </c>
      <c r="D1311" t="s">
        <v>91</v>
      </c>
      <c r="E1311" s="11"/>
      <c r="F1311" s="9"/>
      <c r="G1311" s="10">
        <v>1</v>
      </c>
      <c r="H1311">
        <v>1</v>
      </c>
      <c r="I1311">
        <v>0</v>
      </c>
      <c r="J1311" s="9"/>
      <c r="K1311" s="9">
        <v>20</v>
      </c>
      <c r="L1311" s="9">
        <v>0</v>
      </c>
      <c r="M1311" s="1">
        <f t="shared" si="50"/>
        <v>20</v>
      </c>
      <c r="N1311" s="11">
        <f t="shared" si="51"/>
        <v>20</v>
      </c>
      <c r="O1311" s="9"/>
      <c r="P1311" s="9"/>
      <c r="Q1311" s="9"/>
      <c r="R1311" s="9"/>
      <c r="S1311" s="9"/>
      <c r="T1311" s="9"/>
      <c r="U1311" s="9"/>
    </row>
    <row r="1312" spans="2:21" x14ac:dyDescent="0.2">
      <c r="B1312" t="s">
        <v>1117</v>
      </c>
      <c r="C1312" t="s">
        <v>1208</v>
      </c>
      <c r="D1312" t="s">
        <v>97</v>
      </c>
      <c r="E1312" s="11"/>
      <c r="F1312" s="9"/>
      <c r="G1312" s="10">
        <v>1</v>
      </c>
      <c r="H1312">
        <v>1</v>
      </c>
      <c r="I1312">
        <v>0</v>
      </c>
      <c r="J1312" s="9"/>
      <c r="K1312" s="9">
        <v>20</v>
      </c>
      <c r="L1312" s="9">
        <v>0</v>
      </c>
      <c r="M1312" s="1">
        <f t="shared" si="50"/>
        <v>20</v>
      </c>
      <c r="N1312" s="11">
        <f t="shared" si="51"/>
        <v>20</v>
      </c>
      <c r="O1312" s="9"/>
      <c r="P1312" s="9"/>
      <c r="Q1312" s="9"/>
      <c r="R1312" s="9"/>
      <c r="S1312" s="9"/>
      <c r="T1312" s="9"/>
      <c r="U1312" s="9"/>
    </row>
    <row r="1313" spans="2:21" x14ac:dyDescent="0.2">
      <c r="B1313" t="s">
        <v>1174</v>
      </c>
      <c r="C1313" t="s">
        <v>1209</v>
      </c>
      <c r="D1313" t="s">
        <v>27</v>
      </c>
      <c r="E1313" s="11"/>
      <c r="F1313" s="9"/>
      <c r="G1313" s="10">
        <v>1</v>
      </c>
      <c r="H1313">
        <v>1</v>
      </c>
      <c r="I1313">
        <v>0</v>
      </c>
      <c r="J1313" s="9"/>
      <c r="K1313" s="9">
        <v>20</v>
      </c>
      <c r="L1313" s="9">
        <v>0</v>
      </c>
      <c r="M1313" s="1">
        <f t="shared" si="50"/>
        <v>20</v>
      </c>
      <c r="N1313" s="11">
        <f t="shared" si="51"/>
        <v>20</v>
      </c>
      <c r="O1313" s="9"/>
      <c r="P1313" s="9"/>
      <c r="Q1313" s="9"/>
      <c r="R1313" s="9"/>
      <c r="S1313" s="9"/>
      <c r="T1313" s="9"/>
      <c r="U1313" s="9"/>
    </row>
    <row r="1314" spans="2:21" x14ac:dyDescent="0.2">
      <c r="B1314" t="s">
        <v>1133</v>
      </c>
      <c r="C1314" t="s">
        <v>1210</v>
      </c>
      <c r="D1314" t="s">
        <v>1211</v>
      </c>
      <c r="E1314" s="11"/>
      <c r="F1314" s="9"/>
      <c r="G1314" s="10">
        <v>1</v>
      </c>
      <c r="H1314">
        <v>1</v>
      </c>
      <c r="I1314">
        <v>0</v>
      </c>
      <c r="J1314" s="9"/>
      <c r="K1314" s="9">
        <v>35</v>
      </c>
      <c r="L1314" s="9">
        <v>0</v>
      </c>
      <c r="M1314" s="1">
        <f t="shared" si="50"/>
        <v>35</v>
      </c>
      <c r="N1314" s="11">
        <f t="shared" si="51"/>
        <v>35</v>
      </c>
      <c r="O1314" s="9"/>
      <c r="P1314" s="9"/>
      <c r="Q1314" s="9"/>
      <c r="R1314" s="9"/>
      <c r="S1314" s="9"/>
      <c r="T1314" s="9"/>
      <c r="U1314" s="9"/>
    </row>
    <row r="1315" spans="2:21" x14ac:dyDescent="0.2">
      <c r="B1315" t="s">
        <v>1120</v>
      </c>
      <c r="C1315" t="s">
        <v>1212</v>
      </c>
      <c r="D1315" t="s">
        <v>91</v>
      </c>
      <c r="E1315" s="11"/>
      <c r="F1315" s="9"/>
      <c r="G1315" s="10">
        <v>1</v>
      </c>
      <c r="H1315">
        <v>1</v>
      </c>
      <c r="I1315">
        <v>0</v>
      </c>
      <c r="J1315" s="9"/>
      <c r="K1315" s="9">
        <v>35</v>
      </c>
      <c r="L1315" s="9">
        <v>0</v>
      </c>
      <c r="M1315" s="1">
        <f t="shared" si="50"/>
        <v>35</v>
      </c>
      <c r="N1315" s="11">
        <f t="shared" si="51"/>
        <v>35</v>
      </c>
      <c r="O1315" s="9"/>
      <c r="P1315" s="9"/>
      <c r="Q1315" s="9"/>
      <c r="R1315" s="9"/>
      <c r="S1315" s="9"/>
      <c r="T1315" s="9"/>
      <c r="U1315" s="9"/>
    </row>
    <row r="1316" spans="2:21" x14ac:dyDescent="0.2">
      <c r="B1316" t="s">
        <v>1117</v>
      </c>
      <c r="C1316" t="s">
        <v>1213</v>
      </c>
      <c r="D1316" t="s">
        <v>97</v>
      </c>
      <c r="E1316" s="11"/>
      <c r="F1316" s="9"/>
      <c r="G1316" s="10">
        <v>1</v>
      </c>
      <c r="H1316">
        <v>1</v>
      </c>
      <c r="I1316">
        <v>0</v>
      </c>
      <c r="J1316" s="9"/>
      <c r="K1316" s="9">
        <v>30</v>
      </c>
      <c r="L1316" s="9">
        <v>0</v>
      </c>
      <c r="M1316" s="1">
        <f t="shared" si="50"/>
        <v>30</v>
      </c>
      <c r="N1316" s="11">
        <f t="shared" si="51"/>
        <v>30</v>
      </c>
      <c r="O1316" s="9"/>
      <c r="P1316" s="9"/>
      <c r="Q1316" s="9"/>
      <c r="R1316" s="9"/>
      <c r="S1316" s="9"/>
      <c r="T1316" s="9"/>
      <c r="U1316" s="9"/>
    </row>
    <row r="1317" spans="2:21" x14ac:dyDescent="0.2">
      <c r="B1317" t="s">
        <v>1013</v>
      </c>
      <c r="C1317" t="s">
        <v>1214</v>
      </c>
      <c r="D1317" t="s">
        <v>17</v>
      </c>
      <c r="E1317" s="11"/>
      <c r="F1317" s="9"/>
      <c r="G1317" s="10">
        <v>1</v>
      </c>
      <c r="H1317">
        <v>1</v>
      </c>
      <c r="I1317">
        <v>0</v>
      </c>
      <c r="J1317" s="9"/>
      <c r="K1317" s="9">
        <v>28</v>
      </c>
      <c r="L1317" s="9">
        <v>0</v>
      </c>
      <c r="M1317" s="1">
        <f t="shared" si="50"/>
        <v>28</v>
      </c>
      <c r="N1317" s="11">
        <f t="shared" si="51"/>
        <v>28</v>
      </c>
      <c r="O1317" s="9"/>
      <c r="P1317" s="9"/>
      <c r="Q1317" s="9"/>
      <c r="R1317" s="9"/>
      <c r="S1317" s="9"/>
      <c r="T1317" s="9"/>
      <c r="U1317" s="9"/>
    </row>
    <row r="1318" spans="2:21" x14ac:dyDescent="0.2">
      <c r="B1318" t="s">
        <v>1013</v>
      </c>
      <c r="C1318" t="s">
        <v>1110</v>
      </c>
      <c r="D1318" t="s">
        <v>34</v>
      </c>
      <c r="E1318" s="11"/>
      <c r="F1318" s="9"/>
      <c r="G1318" s="10">
        <v>1</v>
      </c>
      <c r="H1318">
        <v>1</v>
      </c>
      <c r="I1318">
        <v>0</v>
      </c>
      <c r="J1318" s="9"/>
      <c r="K1318" s="9">
        <v>28</v>
      </c>
      <c r="L1318" s="9">
        <v>0</v>
      </c>
      <c r="M1318" s="1">
        <f t="shared" si="50"/>
        <v>28</v>
      </c>
      <c r="N1318" s="11">
        <f t="shared" si="51"/>
        <v>28</v>
      </c>
      <c r="O1318" s="9"/>
      <c r="P1318" s="9"/>
      <c r="Q1318" s="9"/>
      <c r="R1318" s="9"/>
      <c r="S1318" s="9"/>
      <c r="T1318" s="9"/>
      <c r="U1318" s="9"/>
    </row>
    <row r="1319" spans="2:21" x14ac:dyDescent="0.2">
      <c r="B1319" t="s">
        <v>1013</v>
      </c>
      <c r="C1319" t="s">
        <v>1215</v>
      </c>
      <c r="D1319" t="s">
        <v>34</v>
      </c>
      <c r="E1319" s="11"/>
      <c r="F1319" s="9"/>
      <c r="G1319" s="10">
        <v>1</v>
      </c>
      <c r="H1319">
        <v>1</v>
      </c>
      <c r="I1319">
        <v>0</v>
      </c>
      <c r="J1319" s="9"/>
      <c r="K1319" s="9">
        <v>28</v>
      </c>
      <c r="L1319" s="9">
        <v>0</v>
      </c>
      <c r="M1319" s="1">
        <f t="shared" si="50"/>
        <v>28</v>
      </c>
      <c r="N1319" s="11">
        <f t="shared" si="51"/>
        <v>28</v>
      </c>
      <c r="O1319" s="9"/>
      <c r="P1319" s="9"/>
      <c r="Q1319" s="9"/>
      <c r="R1319" s="9"/>
      <c r="S1319" s="9"/>
      <c r="T1319" s="9"/>
      <c r="U1319" s="9"/>
    </row>
    <row r="1320" spans="2:21" x14ac:dyDescent="0.2">
      <c r="B1320" t="s">
        <v>1013</v>
      </c>
      <c r="C1320" t="s">
        <v>1216</v>
      </c>
      <c r="D1320" t="s">
        <v>34</v>
      </c>
      <c r="E1320" s="11"/>
      <c r="F1320" s="9"/>
      <c r="G1320" s="10">
        <v>1</v>
      </c>
      <c r="H1320">
        <v>1</v>
      </c>
      <c r="I1320">
        <v>0</v>
      </c>
      <c r="J1320" s="9"/>
      <c r="K1320" s="9">
        <v>18</v>
      </c>
      <c r="L1320" s="9">
        <v>0</v>
      </c>
      <c r="M1320" s="1">
        <f t="shared" si="50"/>
        <v>18</v>
      </c>
      <c r="N1320" s="11">
        <f t="shared" si="51"/>
        <v>18</v>
      </c>
      <c r="O1320" s="9"/>
      <c r="P1320" s="9"/>
      <c r="Q1320" s="9"/>
      <c r="R1320" s="9"/>
      <c r="S1320" s="9"/>
      <c r="T1320" s="9"/>
      <c r="U1320" s="9"/>
    </row>
    <row r="1321" spans="2:21" x14ac:dyDescent="0.2">
      <c r="B1321" t="s">
        <v>1013</v>
      </c>
      <c r="C1321" t="s">
        <v>1217</v>
      </c>
      <c r="D1321" t="s">
        <v>17</v>
      </c>
      <c r="E1321" s="11"/>
      <c r="F1321" s="9"/>
      <c r="G1321" s="10">
        <v>1</v>
      </c>
      <c r="H1321">
        <v>1</v>
      </c>
      <c r="I1321">
        <v>0</v>
      </c>
      <c r="J1321" s="9"/>
      <c r="K1321" s="9">
        <v>18</v>
      </c>
      <c r="L1321" s="9">
        <v>0</v>
      </c>
      <c r="M1321" s="1">
        <f t="shared" si="50"/>
        <v>18</v>
      </c>
      <c r="N1321" s="11">
        <f t="shared" si="51"/>
        <v>18</v>
      </c>
      <c r="O1321" s="9"/>
      <c r="P1321" s="9"/>
      <c r="Q1321" s="9"/>
      <c r="R1321" s="9"/>
      <c r="S1321" s="9"/>
      <c r="T1321" s="9"/>
      <c r="U1321" s="9"/>
    </row>
    <row r="1322" spans="2:21" x14ac:dyDescent="0.2">
      <c r="B1322" t="s">
        <v>1218</v>
      </c>
      <c r="C1322" t="s">
        <v>1219</v>
      </c>
      <c r="D1322" t="s">
        <v>27</v>
      </c>
      <c r="E1322" s="11"/>
      <c r="F1322" s="9"/>
      <c r="G1322" s="10">
        <v>1</v>
      </c>
      <c r="H1322">
        <v>1</v>
      </c>
      <c r="I1322">
        <v>0</v>
      </c>
      <c r="J1322" s="9"/>
      <c r="K1322" s="9">
        <v>18</v>
      </c>
      <c r="L1322" s="9">
        <v>0</v>
      </c>
      <c r="M1322" s="1">
        <f t="shared" si="50"/>
        <v>18</v>
      </c>
      <c r="N1322" s="11">
        <f t="shared" si="51"/>
        <v>18</v>
      </c>
      <c r="O1322" s="9"/>
      <c r="P1322" s="9"/>
      <c r="Q1322" s="9"/>
      <c r="R1322" s="9"/>
      <c r="S1322" s="9"/>
      <c r="T1322" s="9"/>
      <c r="U1322" s="9"/>
    </row>
    <row r="1323" spans="2:21" x14ac:dyDescent="0.2">
      <c r="B1323" t="s">
        <v>1013</v>
      </c>
      <c r="C1323" t="s">
        <v>1220</v>
      </c>
      <c r="D1323" t="s">
        <v>17</v>
      </c>
      <c r="E1323" s="11"/>
      <c r="F1323" s="9"/>
      <c r="G1323" s="10">
        <v>1</v>
      </c>
      <c r="H1323">
        <v>1</v>
      </c>
      <c r="I1323">
        <v>0</v>
      </c>
      <c r="J1323" s="9"/>
      <c r="K1323" s="9">
        <v>18</v>
      </c>
      <c r="L1323" s="9">
        <v>0</v>
      </c>
      <c r="M1323" s="1">
        <f t="shared" si="50"/>
        <v>18</v>
      </c>
      <c r="N1323" s="11">
        <f t="shared" si="51"/>
        <v>18</v>
      </c>
      <c r="O1323" s="9"/>
      <c r="P1323" s="9"/>
      <c r="Q1323" s="9"/>
      <c r="R1323" s="9"/>
      <c r="S1323" s="9"/>
      <c r="T1323" s="9"/>
      <c r="U1323" s="9"/>
    </row>
    <row r="1324" spans="2:21" x14ac:dyDescent="0.2">
      <c r="B1324" t="s">
        <v>1218</v>
      </c>
      <c r="C1324" t="s">
        <v>1220</v>
      </c>
      <c r="D1324" t="s">
        <v>27</v>
      </c>
      <c r="E1324" s="11"/>
      <c r="F1324" s="9"/>
      <c r="G1324" s="10">
        <v>1</v>
      </c>
      <c r="H1324">
        <v>1</v>
      </c>
      <c r="I1324">
        <v>0</v>
      </c>
      <c r="J1324" s="9"/>
      <c r="K1324" s="9">
        <v>18</v>
      </c>
      <c r="L1324" s="9">
        <v>0</v>
      </c>
      <c r="M1324" s="1">
        <f t="shared" si="50"/>
        <v>18</v>
      </c>
      <c r="N1324" s="11">
        <f t="shared" si="51"/>
        <v>18</v>
      </c>
      <c r="O1324" s="9"/>
      <c r="P1324" s="9"/>
      <c r="Q1324" s="9"/>
      <c r="R1324" s="9"/>
      <c r="S1324" s="9"/>
      <c r="T1324" s="9"/>
      <c r="U1324" s="9"/>
    </row>
    <row r="1325" spans="2:21" x14ac:dyDescent="0.2">
      <c r="B1325" t="s">
        <v>1013</v>
      </c>
      <c r="C1325" t="s">
        <v>1221</v>
      </c>
      <c r="D1325" t="s">
        <v>17</v>
      </c>
      <c r="E1325" s="11"/>
      <c r="F1325" s="9"/>
      <c r="G1325" s="10">
        <v>1</v>
      </c>
      <c r="H1325">
        <v>1</v>
      </c>
      <c r="I1325">
        <v>0</v>
      </c>
      <c r="J1325" s="9"/>
      <c r="K1325" s="9">
        <v>18</v>
      </c>
      <c r="L1325" s="9">
        <v>0</v>
      </c>
      <c r="M1325" s="1">
        <f t="shared" si="50"/>
        <v>18</v>
      </c>
      <c r="N1325" s="11">
        <f t="shared" si="51"/>
        <v>18</v>
      </c>
      <c r="O1325" s="9"/>
      <c r="P1325" s="9"/>
      <c r="Q1325" s="9"/>
      <c r="R1325" s="9"/>
      <c r="S1325" s="9"/>
      <c r="T1325" s="9"/>
      <c r="U1325" s="9"/>
    </row>
    <row r="1326" spans="2:21" x14ac:dyDescent="0.2">
      <c r="B1326" t="s">
        <v>1013</v>
      </c>
      <c r="C1326" t="s">
        <v>1221</v>
      </c>
      <c r="D1326" t="s">
        <v>34</v>
      </c>
      <c r="E1326" s="11"/>
      <c r="F1326" s="9"/>
      <c r="G1326" s="10">
        <v>1</v>
      </c>
      <c r="H1326">
        <v>1</v>
      </c>
      <c r="I1326">
        <v>0</v>
      </c>
      <c r="J1326" s="9"/>
      <c r="K1326" s="9">
        <v>18</v>
      </c>
      <c r="L1326" s="9">
        <v>0</v>
      </c>
      <c r="M1326" s="1">
        <f t="shared" si="50"/>
        <v>18</v>
      </c>
      <c r="N1326" s="11">
        <f t="shared" si="51"/>
        <v>18</v>
      </c>
      <c r="O1326" s="9"/>
      <c r="P1326" s="9"/>
      <c r="Q1326" s="9"/>
      <c r="R1326" s="9"/>
      <c r="S1326" s="9"/>
      <c r="T1326" s="9"/>
      <c r="U1326" s="9"/>
    </row>
    <row r="1327" spans="2:21" x14ac:dyDescent="0.2">
      <c r="B1327" t="s">
        <v>1008</v>
      </c>
      <c r="C1327" t="s">
        <v>1222</v>
      </c>
      <c r="D1327" t="s">
        <v>97</v>
      </c>
      <c r="E1327" s="11"/>
      <c r="F1327" s="9"/>
      <c r="G1327" s="10">
        <v>1</v>
      </c>
      <c r="H1327">
        <v>1</v>
      </c>
      <c r="I1327">
        <v>0</v>
      </c>
      <c r="J1327" s="9"/>
      <c r="K1327" s="9">
        <v>18</v>
      </c>
      <c r="L1327" s="9">
        <v>0</v>
      </c>
      <c r="M1327" s="1">
        <f t="shared" si="50"/>
        <v>18</v>
      </c>
      <c r="N1327" s="11">
        <f t="shared" si="51"/>
        <v>18</v>
      </c>
      <c r="O1327" s="9"/>
      <c r="P1327" s="9"/>
      <c r="Q1327" s="9"/>
      <c r="R1327" s="9"/>
      <c r="S1327" s="9"/>
      <c r="T1327" s="9"/>
      <c r="U1327" s="9"/>
    </row>
    <row r="1328" spans="2:21" x14ac:dyDescent="0.2">
      <c r="B1328" t="s">
        <v>1013</v>
      </c>
      <c r="C1328" t="s">
        <v>1223</v>
      </c>
      <c r="D1328" t="s">
        <v>17</v>
      </c>
      <c r="E1328" s="11"/>
      <c r="F1328" s="9"/>
      <c r="G1328" s="10">
        <v>1</v>
      </c>
      <c r="H1328">
        <v>1</v>
      </c>
      <c r="I1328">
        <v>0</v>
      </c>
      <c r="J1328" s="9"/>
      <c r="K1328" s="9">
        <v>20</v>
      </c>
      <c r="L1328" s="9">
        <v>0</v>
      </c>
      <c r="M1328" s="1">
        <f t="shared" si="50"/>
        <v>20</v>
      </c>
      <c r="N1328" s="11">
        <f t="shared" si="51"/>
        <v>20</v>
      </c>
      <c r="O1328" s="9"/>
      <c r="P1328" s="9"/>
      <c r="Q1328" s="9"/>
      <c r="R1328" s="9"/>
      <c r="S1328" s="9"/>
      <c r="T1328" s="9"/>
      <c r="U1328" s="9"/>
    </row>
    <row r="1329" spans="2:21" x14ac:dyDescent="0.2">
      <c r="B1329" t="s">
        <v>1013</v>
      </c>
      <c r="C1329" t="s">
        <v>1224</v>
      </c>
      <c r="D1329" t="s">
        <v>34</v>
      </c>
      <c r="E1329" s="11"/>
      <c r="F1329" s="9"/>
      <c r="G1329" s="10">
        <v>1</v>
      </c>
      <c r="H1329">
        <v>1</v>
      </c>
      <c r="I1329">
        <v>0</v>
      </c>
      <c r="J1329" s="9"/>
      <c r="K1329" s="9">
        <v>18</v>
      </c>
      <c r="L1329" s="9">
        <v>0</v>
      </c>
      <c r="M1329" s="1">
        <f t="shared" si="50"/>
        <v>18</v>
      </c>
      <c r="N1329" s="11">
        <f t="shared" si="51"/>
        <v>18</v>
      </c>
      <c r="O1329" s="9"/>
      <c r="P1329" s="9"/>
      <c r="Q1329" s="9"/>
      <c r="R1329" s="9"/>
      <c r="S1329" s="9"/>
      <c r="T1329" s="9"/>
      <c r="U1329" s="9"/>
    </row>
    <row r="1330" spans="2:21" x14ac:dyDescent="0.2">
      <c r="B1330" t="s">
        <v>1013</v>
      </c>
      <c r="C1330" t="s">
        <v>1225</v>
      </c>
      <c r="D1330" t="s">
        <v>34</v>
      </c>
      <c r="E1330" s="11"/>
      <c r="F1330" s="9"/>
      <c r="G1330" s="10">
        <v>1</v>
      </c>
      <c r="H1330">
        <v>1</v>
      </c>
      <c r="I1330">
        <v>0</v>
      </c>
      <c r="J1330" s="9"/>
      <c r="K1330" s="9">
        <v>20</v>
      </c>
      <c r="L1330" s="9">
        <v>0</v>
      </c>
      <c r="M1330" s="1">
        <f t="shared" si="50"/>
        <v>20</v>
      </c>
      <c r="N1330" s="11">
        <f t="shared" si="51"/>
        <v>20</v>
      </c>
      <c r="O1330" s="9"/>
      <c r="P1330" s="9"/>
      <c r="Q1330" s="9"/>
      <c r="R1330" s="9"/>
      <c r="S1330" s="9"/>
      <c r="T1330" s="9"/>
      <c r="U1330" s="9"/>
    </row>
    <row r="1331" spans="2:21" x14ac:dyDescent="0.2">
      <c r="B1331" t="s">
        <v>1013</v>
      </c>
      <c r="C1331" t="s">
        <v>1226</v>
      </c>
      <c r="D1331" t="s">
        <v>34</v>
      </c>
      <c r="E1331" s="11"/>
      <c r="F1331" s="9"/>
      <c r="G1331" s="10">
        <v>1</v>
      </c>
      <c r="H1331">
        <v>1</v>
      </c>
      <c r="I1331">
        <v>0</v>
      </c>
      <c r="J1331" s="9"/>
      <c r="K1331" s="9">
        <v>20</v>
      </c>
      <c r="L1331" s="9">
        <v>0</v>
      </c>
      <c r="M1331" s="1">
        <f t="shared" si="50"/>
        <v>20</v>
      </c>
      <c r="N1331" s="11">
        <f t="shared" si="51"/>
        <v>20</v>
      </c>
      <c r="O1331" s="9"/>
      <c r="P1331" s="9"/>
      <c r="Q1331" s="9"/>
      <c r="R1331" s="9"/>
      <c r="S1331" s="9"/>
      <c r="T1331" s="9"/>
      <c r="U1331" s="9"/>
    </row>
    <row r="1332" spans="2:21" x14ac:dyDescent="0.2">
      <c r="B1332" t="s">
        <v>1013</v>
      </c>
      <c r="C1332" t="s">
        <v>1227</v>
      </c>
      <c r="D1332" t="s">
        <v>34</v>
      </c>
      <c r="E1332" s="11"/>
      <c r="F1332" s="9"/>
      <c r="G1332" s="10">
        <v>1</v>
      </c>
      <c r="H1332">
        <v>1</v>
      </c>
      <c r="I1332">
        <v>0</v>
      </c>
      <c r="J1332" s="9"/>
      <c r="K1332" s="9">
        <v>20</v>
      </c>
      <c r="L1332" s="9">
        <v>0</v>
      </c>
      <c r="M1332" s="1">
        <f t="shared" si="50"/>
        <v>20</v>
      </c>
      <c r="N1332" s="11">
        <f t="shared" si="51"/>
        <v>20</v>
      </c>
      <c r="O1332" s="9"/>
      <c r="P1332" s="9"/>
      <c r="Q1332" s="9"/>
      <c r="R1332" s="9"/>
      <c r="S1332" s="9"/>
      <c r="T1332" s="9"/>
      <c r="U1332" s="9"/>
    </row>
    <row r="1333" spans="2:21" x14ac:dyDescent="0.2">
      <c r="B1333" t="s">
        <v>1010</v>
      </c>
      <c r="C1333" t="s">
        <v>1228</v>
      </c>
      <c r="D1333" t="s">
        <v>95</v>
      </c>
      <c r="E1333" s="11"/>
      <c r="F1333" s="9"/>
      <c r="G1333" s="10">
        <v>1</v>
      </c>
      <c r="H1333">
        <v>1</v>
      </c>
      <c r="I1333">
        <v>0</v>
      </c>
      <c r="J1333" s="9"/>
      <c r="K1333" s="9">
        <v>18</v>
      </c>
      <c r="L1333" s="9">
        <v>0</v>
      </c>
      <c r="M1333" s="1">
        <f t="shared" si="50"/>
        <v>18</v>
      </c>
      <c r="N1333" s="11">
        <f t="shared" si="51"/>
        <v>18</v>
      </c>
      <c r="O1333" s="9"/>
      <c r="P1333" s="9"/>
      <c r="Q1333" s="9"/>
      <c r="R1333" s="9"/>
      <c r="S1333" s="9"/>
      <c r="T1333" s="9"/>
      <c r="U1333" s="9"/>
    </row>
    <row r="1334" spans="2:21" x14ac:dyDescent="0.2">
      <c r="B1334" t="s">
        <v>1008</v>
      </c>
      <c r="C1334" t="s">
        <v>1229</v>
      </c>
      <c r="D1334" t="s">
        <v>97</v>
      </c>
      <c r="E1334" s="11"/>
      <c r="F1334" s="9"/>
      <c r="G1334" s="10">
        <v>1</v>
      </c>
      <c r="H1334">
        <v>1</v>
      </c>
      <c r="I1334">
        <v>0</v>
      </c>
      <c r="J1334" s="9"/>
      <c r="K1334" s="9">
        <v>18</v>
      </c>
      <c r="L1334" s="9">
        <v>0</v>
      </c>
      <c r="M1334" s="1">
        <f t="shared" si="50"/>
        <v>18</v>
      </c>
      <c r="N1334" s="11">
        <f t="shared" si="51"/>
        <v>18</v>
      </c>
      <c r="O1334" s="9"/>
      <c r="P1334" s="9"/>
      <c r="Q1334" s="9"/>
      <c r="R1334" s="9"/>
      <c r="S1334" s="9"/>
      <c r="T1334" s="9"/>
      <c r="U1334" s="9"/>
    </row>
    <row r="1335" spans="2:21" x14ac:dyDescent="0.2">
      <c r="B1335" t="s">
        <v>1008</v>
      </c>
      <c r="C1335" t="s">
        <v>1230</v>
      </c>
      <c r="D1335" t="s">
        <v>97</v>
      </c>
      <c r="E1335" s="11"/>
      <c r="F1335" s="9"/>
      <c r="G1335" s="10">
        <v>1</v>
      </c>
      <c r="H1335">
        <v>1</v>
      </c>
      <c r="I1335">
        <v>0</v>
      </c>
      <c r="J1335" s="9"/>
      <c r="K1335" s="9">
        <v>18</v>
      </c>
      <c r="L1335" s="9">
        <v>0</v>
      </c>
      <c r="M1335" s="1">
        <f t="shared" si="50"/>
        <v>18</v>
      </c>
      <c r="N1335" s="11">
        <f t="shared" si="51"/>
        <v>18</v>
      </c>
      <c r="O1335" s="9"/>
      <c r="P1335" s="9"/>
      <c r="Q1335" s="9"/>
      <c r="R1335" s="9"/>
      <c r="S1335" s="9"/>
      <c r="T1335" s="9"/>
      <c r="U1335" s="9"/>
    </row>
    <row r="1336" spans="2:21" x14ac:dyDescent="0.2">
      <c r="B1336" t="s">
        <v>1008</v>
      </c>
      <c r="C1336" t="s">
        <v>1231</v>
      </c>
      <c r="D1336" t="s">
        <v>97</v>
      </c>
      <c r="E1336" s="11"/>
      <c r="F1336" s="9"/>
      <c r="G1336" s="10">
        <v>1</v>
      </c>
      <c r="H1336">
        <v>1</v>
      </c>
      <c r="I1336">
        <v>0</v>
      </c>
      <c r="J1336" s="9"/>
      <c r="K1336" s="9">
        <v>18</v>
      </c>
      <c r="L1336" s="9">
        <v>0</v>
      </c>
      <c r="M1336" s="1">
        <f t="shared" si="50"/>
        <v>18</v>
      </c>
      <c r="N1336" s="11">
        <f t="shared" si="51"/>
        <v>18</v>
      </c>
      <c r="O1336" s="9"/>
      <c r="P1336" s="9"/>
      <c r="Q1336" s="9"/>
      <c r="R1336" s="9"/>
      <c r="S1336" s="9"/>
      <c r="T1336" s="9"/>
      <c r="U1336" s="9"/>
    </row>
    <row r="1337" spans="2:21" x14ac:dyDescent="0.2">
      <c r="B1337" t="s">
        <v>1010</v>
      </c>
      <c r="C1337" t="s">
        <v>1105</v>
      </c>
      <c r="D1337" t="s">
        <v>91</v>
      </c>
      <c r="E1337" s="11"/>
      <c r="F1337" s="9"/>
      <c r="G1337" s="10">
        <v>1</v>
      </c>
      <c r="H1337">
        <v>1</v>
      </c>
      <c r="I1337">
        <v>0</v>
      </c>
      <c r="J1337" s="9"/>
      <c r="K1337" s="9">
        <v>16</v>
      </c>
      <c r="L1337" s="9">
        <v>0</v>
      </c>
      <c r="M1337" s="1">
        <f t="shared" ref="M1337:M1400" si="52">K1337+L1337</f>
        <v>16</v>
      </c>
      <c r="N1337" s="11">
        <f t="shared" si="51"/>
        <v>16</v>
      </c>
      <c r="O1337" s="9"/>
      <c r="P1337" s="9"/>
      <c r="Q1337" s="9"/>
      <c r="R1337" s="9"/>
      <c r="S1337" s="9"/>
      <c r="T1337" s="9"/>
      <c r="U1337" s="9"/>
    </row>
    <row r="1338" spans="2:21" x14ac:dyDescent="0.2">
      <c r="B1338" t="s">
        <v>1013</v>
      </c>
      <c r="C1338" t="s">
        <v>1232</v>
      </c>
      <c r="D1338" t="s">
        <v>34</v>
      </c>
      <c r="E1338" s="11"/>
      <c r="F1338" s="9"/>
      <c r="G1338" s="10">
        <v>1</v>
      </c>
      <c r="H1338">
        <v>1</v>
      </c>
      <c r="I1338">
        <v>0</v>
      </c>
      <c r="J1338" s="9"/>
      <c r="K1338" s="9">
        <v>20</v>
      </c>
      <c r="L1338" s="9">
        <v>0</v>
      </c>
      <c r="M1338" s="1">
        <f t="shared" si="52"/>
        <v>20</v>
      </c>
      <c r="N1338" s="11">
        <f t="shared" si="51"/>
        <v>20</v>
      </c>
      <c r="O1338" s="9"/>
      <c r="P1338" s="9"/>
      <c r="Q1338" s="9"/>
      <c r="R1338" s="9"/>
      <c r="S1338" s="9"/>
      <c r="T1338" s="9"/>
      <c r="U1338" s="9"/>
    </row>
    <row r="1339" spans="2:21" x14ac:dyDescent="0.2">
      <c r="B1339" t="s">
        <v>1233</v>
      </c>
      <c r="C1339" t="s">
        <v>1234</v>
      </c>
      <c r="D1339" t="s">
        <v>91</v>
      </c>
      <c r="E1339" s="11"/>
      <c r="F1339" s="9"/>
      <c r="G1339" s="10">
        <v>1</v>
      </c>
      <c r="H1339">
        <v>1</v>
      </c>
      <c r="I1339">
        <v>0</v>
      </c>
      <c r="J1339" s="9"/>
      <c r="K1339" s="9">
        <v>30</v>
      </c>
      <c r="L1339" s="9">
        <v>0</v>
      </c>
      <c r="M1339" s="1">
        <f t="shared" si="52"/>
        <v>30</v>
      </c>
      <c r="N1339" s="11">
        <f t="shared" si="51"/>
        <v>30</v>
      </c>
      <c r="O1339" s="9"/>
      <c r="P1339" s="9"/>
      <c r="Q1339" s="9"/>
      <c r="R1339" s="9"/>
      <c r="S1339" s="9"/>
      <c r="T1339" s="9"/>
      <c r="U1339" s="9"/>
    </row>
    <row r="1340" spans="2:21" x14ac:dyDescent="0.2">
      <c r="B1340" t="s">
        <v>277</v>
      </c>
      <c r="C1340" t="s">
        <v>326</v>
      </c>
      <c r="D1340" t="s">
        <v>34</v>
      </c>
      <c r="G1340">
        <v>2</v>
      </c>
      <c r="H1340">
        <v>0</v>
      </c>
      <c r="I1340">
        <f>G1340</f>
        <v>2</v>
      </c>
      <c r="K1340" s="9">
        <v>8</v>
      </c>
      <c r="L1340" s="9">
        <v>0</v>
      </c>
      <c r="M1340" s="1">
        <f t="shared" si="52"/>
        <v>8</v>
      </c>
      <c r="N1340" s="11">
        <f t="shared" si="51"/>
        <v>16</v>
      </c>
    </row>
    <row r="1341" spans="2:21" x14ac:dyDescent="0.2">
      <c r="B1341" t="s">
        <v>277</v>
      </c>
      <c r="C1341" t="s">
        <v>340</v>
      </c>
      <c r="D1341" t="s">
        <v>34</v>
      </c>
      <c r="G1341">
        <v>14</v>
      </c>
      <c r="H1341">
        <v>0</v>
      </c>
      <c r="I1341">
        <f t="shared" ref="I1341:I1372" si="53">G1341</f>
        <v>14</v>
      </c>
      <c r="K1341" s="9">
        <v>8</v>
      </c>
      <c r="L1341" s="9">
        <v>0</v>
      </c>
      <c r="M1341" s="1">
        <f t="shared" si="52"/>
        <v>8</v>
      </c>
      <c r="N1341" s="11">
        <f t="shared" si="51"/>
        <v>112</v>
      </c>
    </row>
    <row r="1342" spans="2:21" x14ac:dyDescent="0.2">
      <c r="B1342" t="s">
        <v>277</v>
      </c>
      <c r="C1342" t="s">
        <v>1235</v>
      </c>
      <c r="D1342" t="s">
        <v>34</v>
      </c>
      <c r="G1342">
        <v>1</v>
      </c>
      <c r="H1342">
        <v>0</v>
      </c>
      <c r="I1342">
        <f t="shared" si="53"/>
        <v>1</v>
      </c>
      <c r="K1342" s="9">
        <v>8</v>
      </c>
      <c r="L1342" s="9">
        <v>0</v>
      </c>
      <c r="M1342" s="1">
        <f t="shared" si="52"/>
        <v>8</v>
      </c>
      <c r="N1342" s="11">
        <f t="shared" si="51"/>
        <v>8</v>
      </c>
    </row>
    <row r="1343" spans="2:21" x14ac:dyDescent="0.2">
      <c r="B1343" t="s">
        <v>277</v>
      </c>
      <c r="C1343" t="s">
        <v>1236</v>
      </c>
      <c r="D1343" t="s">
        <v>17</v>
      </c>
      <c r="G1343">
        <v>1</v>
      </c>
      <c r="H1343">
        <v>0</v>
      </c>
      <c r="I1343">
        <f t="shared" si="53"/>
        <v>1</v>
      </c>
      <c r="K1343" s="9">
        <v>8</v>
      </c>
      <c r="L1343" s="9">
        <v>0</v>
      </c>
      <c r="M1343" s="1">
        <f t="shared" si="52"/>
        <v>8</v>
      </c>
      <c r="N1343" s="11">
        <f t="shared" si="51"/>
        <v>8</v>
      </c>
    </row>
    <row r="1344" spans="2:21" x14ac:dyDescent="0.2">
      <c r="B1344" t="s">
        <v>277</v>
      </c>
      <c r="C1344" t="s">
        <v>1237</v>
      </c>
      <c r="D1344" t="s">
        <v>34</v>
      </c>
      <c r="G1344">
        <v>1</v>
      </c>
      <c r="H1344">
        <v>0</v>
      </c>
      <c r="I1344">
        <f t="shared" si="53"/>
        <v>1</v>
      </c>
      <c r="K1344" s="9">
        <v>8</v>
      </c>
      <c r="L1344" s="9">
        <v>0</v>
      </c>
      <c r="M1344" s="1">
        <f t="shared" si="52"/>
        <v>8</v>
      </c>
      <c r="N1344" s="11">
        <f t="shared" si="51"/>
        <v>8</v>
      </c>
    </row>
    <row r="1345" spans="2:14" x14ac:dyDescent="0.2">
      <c r="B1345" t="s">
        <v>277</v>
      </c>
      <c r="C1345" t="s">
        <v>1238</v>
      </c>
      <c r="D1345" t="s">
        <v>34</v>
      </c>
      <c r="G1345">
        <v>1</v>
      </c>
      <c r="H1345">
        <v>0</v>
      </c>
      <c r="I1345">
        <f t="shared" si="53"/>
        <v>1</v>
      </c>
      <c r="K1345" s="9">
        <v>8</v>
      </c>
      <c r="L1345" s="9">
        <v>0</v>
      </c>
      <c r="M1345" s="1">
        <f t="shared" si="52"/>
        <v>8</v>
      </c>
      <c r="N1345" s="11">
        <f t="shared" si="51"/>
        <v>8</v>
      </c>
    </row>
    <row r="1346" spans="2:14" x14ac:dyDescent="0.2">
      <c r="B1346" t="s">
        <v>277</v>
      </c>
      <c r="C1346" t="s">
        <v>921</v>
      </c>
      <c r="D1346" t="s">
        <v>34</v>
      </c>
      <c r="G1346">
        <v>1</v>
      </c>
      <c r="H1346">
        <v>0</v>
      </c>
      <c r="I1346">
        <f t="shared" si="53"/>
        <v>1</v>
      </c>
      <c r="K1346" s="9">
        <v>8</v>
      </c>
      <c r="L1346" s="9">
        <v>0</v>
      </c>
      <c r="M1346" s="1">
        <f t="shared" si="52"/>
        <v>8</v>
      </c>
      <c r="N1346" s="11">
        <f t="shared" si="51"/>
        <v>8</v>
      </c>
    </row>
    <row r="1347" spans="2:14" x14ac:dyDescent="0.2">
      <c r="B1347" t="s">
        <v>277</v>
      </c>
      <c r="C1347" t="s">
        <v>328</v>
      </c>
      <c r="D1347" t="s">
        <v>34</v>
      </c>
      <c r="G1347">
        <v>4</v>
      </c>
      <c r="H1347">
        <v>0</v>
      </c>
      <c r="I1347">
        <f t="shared" si="53"/>
        <v>4</v>
      </c>
      <c r="K1347" s="9">
        <v>8</v>
      </c>
      <c r="L1347" s="9">
        <v>0</v>
      </c>
      <c r="M1347" s="1">
        <f t="shared" si="52"/>
        <v>8</v>
      </c>
      <c r="N1347" s="11">
        <f t="shared" ref="N1347:N1410" si="54">G1347*K1347</f>
        <v>32</v>
      </c>
    </row>
    <row r="1348" spans="2:14" x14ac:dyDescent="0.2">
      <c r="B1348" t="s">
        <v>277</v>
      </c>
      <c r="C1348" t="s">
        <v>913</v>
      </c>
      <c r="D1348" t="s">
        <v>34</v>
      </c>
      <c r="G1348">
        <v>2</v>
      </c>
      <c r="H1348">
        <v>0</v>
      </c>
      <c r="I1348">
        <f t="shared" si="53"/>
        <v>2</v>
      </c>
      <c r="K1348" s="9">
        <v>8</v>
      </c>
      <c r="L1348" s="9">
        <v>0</v>
      </c>
      <c r="M1348" s="1">
        <f t="shared" si="52"/>
        <v>8</v>
      </c>
      <c r="N1348" s="11">
        <f t="shared" si="54"/>
        <v>16</v>
      </c>
    </row>
    <row r="1349" spans="2:14" x14ac:dyDescent="0.2">
      <c r="B1349" t="s">
        <v>277</v>
      </c>
      <c r="C1349" t="s">
        <v>1239</v>
      </c>
      <c r="D1349" t="s">
        <v>34</v>
      </c>
      <c r="G1349">
        <v>1</v>
      </c>
      <c r="H1349">
        <v>0</v>
      </c>
      <c r="I1349">
        <f t="shared" si="53"/>
        <v>1</v>
      </c>
      <c r="K1349" s="9">
        <v>8</v>
      </c>
      <c r="L1349" s="9">
        <v>0</v>
      </c>
      <c r="M1349" s="1">
        <f t="shared" si="52"/>
        <v>8</v>
      </c>
      <c r="N1349" s="11">
        <f t="shared" si="54"/>
        <v>8</v>
      </c>
    </row>
    <row r="1350" spans="2:14" x14ac:dyDescent="0.2">
      <c r="B1350" t="s">
        <v>277</v>
      </c>
      <c r="C1350" t="s">
        <v>334</v>
      </c>
      <c r="D1350" t="s">
        <v>34</v>
      </c>
      <c r="G1350">
        <v>2</v>
      </c>
      <c r="H1350">
        <v>0</v>
      </c>
      <c r="I1350">
        <f t="shared" si="53"/>
        <v>2</v>
      </c>
      <c r="K1350" s="9">
        <v>8</v>
      </c>
      <c r="L1350" s="9">
        <v>0</v>
      </c>
      <c r="M1350" s="1">
        <f t="shared" si="52"/>
        <v>8</v>
      </c>
      <c r="N1350" s="11">
        <f t="shared" si="54"/>
        <v>16</v>
      </c>
    </row>
    <row r="1351" spans="2:14" x14ac:dyDescent="0.2">
      <c r="B1351" t="s">
        <v>277</v>
      </c>
      <c r="C1351" t="s">
        <v>1240</v>
      </c>
      <c r="D1351" t="s">
        <v>34</v>
      </c>
      <c r="G1351">
        <v>1</v>
      </c>
      <c r="H1351">
        <v>0</v>
      </c>
      <c r="I1351">
        <f t="shared" si="53"/>
        <v>1</v>
      </c>
      <c r="K1351" s="9">
        <v>8</v>
      </c>
      <c r="L1351" s="9">
        <v>0</v>
      </c>
      <c r="M1351" s="1">
        <f t="shared" si="52"/>
        <v>8</v>
      </c>
      <c r="N1351" s="11">
        <f t="shared" si="54"/>
        <v>8</v>
      </c>
    </row>
    <row r="1352" spans="2:14" x14ac:dyDescent="0.2">
      <c r="B1352" t="s">
        <v>277</v>
      </c>
      <c r="C1352" t="s">
        <v>1241</v>
      </c>
      <c r="D1352" t="s">
        <v>34</v>
      </c>
      <c r="G1352">
        <v>1</v>
      </c>
      <c r="H1352">
        <v>0</v>
      </c>
      <c r="I1352">
        <f t="shared" si="53"/>
        <v>1</v>
      </c>
      <c r="K1352" s="9">
        <v>8</v>
      </c>
      <c r="L1352" s="9">
        <v>0</v>
      </c>
      <c r="M1352" s="1">
        <f t="shared" si="52"/>
        <v>8</v>
      </c>
      <c r="N1352" s="11">
        <f t="shared" si="54"/>
        <v>8</v>
      </c>
    </row>
    <row r="1353" spans="2:14" x14ac:dyDescent="0.2">
      <c r="B1353" t="s">
        <v>277</v>
      </c>
      <c r="C1353" t="s">
        <v>371</v>
      </c>
      <c r="D1353" t="s">
        <v>34</v>
      </c>
      <c r="G1353">
        <v>1</v>
      </c>
      <c r="H1353">
        <v>0</v>
      </c>
      <c r="I1353">
        <f t="shared" si="53"/>
        <v>1</v>
      </c>
      <c r="K1353" s="9">
        <v>8</v>
      </c>
      <c r="L1353" s="9">
        <v>0</v>
      </c>
      <c r="M1353" s="1">
        <f t="shared" si="52"/>
        <v>8</v>
      </c>
      <c r="N1353" s="11">
        <f t="shared" si="54"/>
        <v>8</v>
      </c>
    </row>
    <row r="1354" spans="2:14" x14ac:dyDescent="0.2">
      <c r="B1354" t="s">
        <v>277</v>
      </c>
      <c r="C1354" t="s">
        <v>1242</v>
      </c>
      <c r="D1354" t="s">
        <v>34</v>
      </c>
      <c r="G1354">
        <v>1</v>
      </c>
      <c r="H1354">
        <v>0</v>
      </c>
      <c r="I1354">
        <f t="shared" si="53"/>
        <v>1</v>
      </c>
      <c r="K1354" s="9">
        <v>8</v>
      </c>
      <c r="L1354" s="9">
        <v>0</v>
      </c>
      <c r="M1354" s="1">
        <f t="shared" si="52"/>
        <v>8</v>
      </c>
      <c r="N1354" s="11">
        <f t="shared" si="54"/>
        <v>8</v>
      </c>
    </row>
    <row r="1355" spans="2:14" x14ac:dyDescent="0.2">
      <c r="B1355" t="s">
        <v>277</v>
      </c>
      <c r="C1355" t="s">
        <v>914</v>
      </c>
      <c r="D1355" t="s">
        <v>34</v>
      </c>
      <c r="G1355">
        <v>1</v>
      </c>
      <c r="H1355">
        <v>0</v>
      </c>
      <c r="I1355">
        <f t="shared" si="53"/>
        <v>1</v>
      </c>
      <c r="K1355" s="9">
        <v>8</v>
      </c>
      <c r="L1355" s="9">
        <v>0</v>
      </c>
      <c r="M1355" s="1">
        <f t="shared" si="52"/>
        <v>8</v>
      </c>
      <c r="N1355" s="11">
        <f t="shared" si="54"/>
        <v>8</v>
      </c>
    </row>
    <row r="1356" spans="2:14" x14ac:dyDescent="0.2">
      <c r="B1356" t="s">
        <v>277</v>
      </c>
      <c r="C1356" t="s">
        <v>1243</v>
      </c>
      <c r="D1356" t="s">
        <v>34</v>
      </c>
      <c r="G1356">
        <v>1</v>
      </c>
      <c r="H1356">
        <v>0</v>
      </c>
      <c r="I1356">
        <f t="shared" si="53"/>
        <v>1</v>
      </c>
      <c r="K1356" s="9">
        <v>8</v>
      </c>
      <c r="L1356" s="9">
        <v>0</v>
      </c>
      <c r="M1356" s="1">
        <f t="shared" si="52"/>
        <v>8</v>
      </c>
      <c r="N1356" s="11">
        <f t="shared" si="54"/>
        <v>8</v>
      </c>
    </row>
    <row r="1357" spans="2:14" x14ac:dyDescent="0.2">
      <c r="B1357" t="s">
        <v>277</v>
      </c>
      <c r="C1357" t="s">
        <v>366</v>
      </c>
      <c r="D1357" t="s">
        <v>34</v>
      </c>
      <c r="G1357">
        <v>1</v>
      </c>
      <c r="H1357">
        <v>0</v>
      </c>
      <c r="I1357">
        <f t="shared" si="53"/>
        <v>1</v>
      </c>
      <c r="K1357" s="9">
        <v>8</v>
      </c>
      <c r="L1357" s="9">
        <v>0</v>
      </c>
      <c r="M1357" s="1">
        <f t="shared" si="52"/>
        <v>8</v>
      </c>
      <c r="N1357" s="11">
        <f t="shared" si="54"/>
        <v>8</v>
      </c>
    </row>
    <row r="1358" spans="2:14" x14ac:dyDescent="0.2">
      <c r="B1358" t="s">
        <v>277</v>
      </c>
      <c r="C1358" t="s">
        <v>1244</v>
      </c>
      <c r="D1358" t="s">
        <v>34</v>
      </c>
      <c r="G1358">
        <v>1</v>
      </c>
      <c r="H1358">
        <v>0</v>
      </c>
      <c r="I1358">
        <f t="shared" si="53"/>
        <v>1</v>
      </c>
      <c r="K1358" s="9">
        <v>8</v>
      </c>
      <c r="L1358" s="9">
        <v>0</v>
      </c>
      <c r="M1358" s="1">
        <f t="shared" si="52"/>
        <v>8</v>
      </c>
      <c r="N1358" s="11">
        <f t="shared" si="54"/>
        <v>8</v>
      </c>
    </row>
    <row r="1359" spans="2:14" x14ac:dyDescent="0.2">
      <c r="B1359" t="s">
        <v>277</v>
      </c>
      <c r="C1359" t="s">
        <v>1245</v>
      </c>
      <c r="D1359" t="s">
        <v>34</v>
      </c>
      <c r="G1359">
        <v>2</v>
      </c>
      <c r="H1359">
        <v>0</v>
      </c>
      <c r="I1359">
        <f t="shared" si="53"/>
        <v>2</v>
      </c>
      <c r="K1359" s="9">
        <v>8</v>
      </c>
      <c r="L1359" s="9">
        <v>0</v>
      </c>
      <c r="M1359" s="1">
        <f t="shared" si="52"/>
        <v>8</v>
      </c>
      <c r="N1359" s="11">
        <f t="shared" si="54"/>
        <v>16</v>
      </c>
    </row>
    <row r="1360" spans="2:14" x14ac:dyDescent="0.2">
      <c r="B1360" t="s">
        <v>277</v>
      </c>
      <c r="C1360" t="s">
        <v>1246</v>
      </c>
      <c r="D1360" t="s">
        <v>34</v>
      </c>
      <c r="G1360">
        <v>1</v>
      </c>
      <c r="H1360">
        <v>0</v>
      </c>
      <c r="I1360">
        <f t="shared" si="53"/>
        <v>1</v>
      </c>
      <c r="K1360" s="9">
        <v>8</v>
      </c>
      <c r="L1360" s="9">
        <v>0</v>
      </c>
      <c r="M1360" s="1">
        <f t="shared" si="52"/>
        <v>8</v>
      </c>
      <c r="N1360" s="11">
        <f t="shared" si="54"/>
        <v>8</v>
      </c>
    </row>
    <row r="1361" spans="2:14" x14ac:dyDescent="0.2">
      <c r="B1361" t="s">
        <v>277</v>
      </c>
      <c r="C1361" t="s">
        <v>1247</v>
      </c>
      <c r="D1361" t="s">
        <v>34</v>
      </c>
      <c r="G1361">
        <v>1</v>
      </c>
      <c r="H1361">
        <v>0</v>
      </c>
      <c r="I1361">
        <f t="shared" si="53"/>
        <v>1</v>
      </c>
      <c r="K1361" s="9">
        <v>8</v>
      </c>
      <c r="L1361" s="9">
        <v>0</v>
      </c>
      <c r="M1361" s="1">
        <f t="shared" si="52"/>
        <v>8</v>
      </c>
      <c r="N1361" s="11">
        <f t="shared" si="54"/>
        <v>8</v>
      </c>
    </row>
    <row r="1362" spans="2:14" x14ac:dyDescent="0.2">
      <c r="B1362" t="s">
        <v>277</v>
      </c>
      <c r="C1362" t="s">
        <v>344</v>
      </c>
      <c r="D1362" t="s">
        <v>34</v>
      </c>
      <c r="G1362">
        <v>5</v>
      </c>
      <c r="H1362">
        <v>0</v>
      </c>
      <c r="I1362">
        <f t="shared" si="53"/>
        <v>5</v>
      </c>
      <c r="K1362" s="9">
        <v>8</v>
      </c>
      <c r="L1362" s="9">
        <v>0</v>
      </c>
      <c r="M1362" s="1">
        <f t="shared" si="52"/>
        <v>8</v>
      </c>
      <c r="N1362" s="11">
        <f t="shared" si="54"/>
        <v>40</v>
      </c>
    </row>
    <row r="1363" spans="2:14" x14ac:dyDescent="0.2">
      <c r="B1363" t="s">
        <v>277</v>
      </c>
      <c r="C1363" t="s">
        <v>1248</v>
      </c>
      <c r="D1363" t="s">
        <v>34</v>
      </c>
      <c r="G1363">
        <v>1</v>
      </c>
      <c r="H1363">
        <v>0</v>
      </c>
      <c r="I1363">
        <f t="shared" si="53"/>
        <v>1</v>
      </c>
      <c r="K1363" s="9">
        <v>8</v>
      </c>
      <c r="L1363" s="9">
        <v>0</v>
      </c>
      <c r="M1363" s="1">
        <f t="shared" si="52"/>
        <v>8</v>
      </c>
      <c r="N1363" s="11">
        <f t="shared" si="54"/>
        <v>8</v>
      </c>
    </row>
    <row r="1364" spans="2:14" x14ac:dyDescent="0.2">
      <c r="B1364" t="s">
        <v>277</v>
      </c>
      <c r="C1364" t="s">
        <v>1249</v>
      </c>
      <c r="D1364" t="s">
        <v>17</v>
      </c>
      <c r="G1364">
        <v>1</v>
      </c>
      <c r="H1364">
        <v>0</v>
      </c>
      <c r="I1364">
        <f t="shared" si="53"/>
        <v>1</v>
      </c>
      <c r="K1364" s="9">
        <v>8</v>
      </c>
      <c r="L1364" s="9">
        <v>0</v>
      </c>
      <c r="M1364" s="1">
        <f t="shared" si="52"/>
        <v>8</v>
      </c>
      <c r="N1364" s="11">
        <f t="shared" si="54"/>
        <v>8</v>
      </c>
    </row>
    <row r="1365" spans="2:14" x14ac:dyDescent="0.2">
      <c r="B1365" t="s">
        <v>277</v>
      </c>
      <c r="C1365" t="s">
        <v>786</v>
      </c>
      <c r="D1365" t="s">
        <v>34</v>
      </c>
      <c r="G1365">
        <v>1</v>
      </c>
      <c r="H1365">
        <v>0</v>
      </c>
      <c r="I1365">
        <f t="shared" si="53"/>
        <v>1</v>
      </c>
      <c r="K1365" s="9">
        <v>8</v>
      </c>
      <c r="L1365" s="9">
        <v>0</v>
      </c>
      <c r="M1365" s="1">
        <f t="shared" si="52"/>
        <v>8</v>
      </c>
      <c r="N1365" s="11">
        <f t="shared" si="54"/>
        <v>8</v>
      </c>
    </row>
    <row r="1366" spans="2:14" x14ac:dyDescent="0.2">
      <c r="B1366" t="s">
        <v>277</v>
      </c>
      <c r="C1366" t="s">
        <v>1250</v>
      </c>
      <c r="D1366" t="s">
        <v>34</v>
      </c>
      <c r="G1366">
        <v>2</v>
      </c>
      <c r="H1366">
        <v>0</v>
      </c>
      <c r="I1366">
        <f t="shared" si="53"/>
        <v>2</v>
      </c>
      <c r="K1366" s="9">
        <v>8</v>
      </c>
      <c r="L1366" s="9">
        <v>0</v>
      </c>
      <c r="M1366" s="1">
        <f t="shared" si="52"/>
        <v>8</v>
      </c>
      <c r="N1366" s="11">
        <f t="shared" si="54"/>
        <v>16</v>
      </c>
    </row>
    <row r="1367" spans="2:14" x14ac:dyDescent="0.2">
      <c r="B1367" t="s">
        <v>277</v>
      </c>
      <c r="C1367" t="s">
        <v>1251</v>
      </c>
      <c r="D1367" t="s">
        <v>34</v>
      </c>
      <c r="G1367">
        <v>1</v>
      </c>
      <c r="H1367">
        <v>0</v>
      </c>
      <c r="I1367">
        <f t="shared" si="53"/>
        <v>1</v>
      </c>
      <c r="K1367" s="9">
        <v>8</v>
      </c>
      <c r="L1367" s="9">
        <v>0</v>
      </c>
      <c r="M1367" s="1">
        <f t="shared" si="52"/>
        <v>8</v>
      </c>
      <c r="N1367" s="11">
        <f t="shared" si="54"/>
        <v>8</v>
      </c>
    </row>
    <row r="1368" spans="2:14" x14ac:dyDescent="0.2">
      <c r="B1368" t="s">
        <v>277</v>
      </c>
      <c r="C1368" t="s">
        <v>1252</v>
      </c>
      <c r="D1368" t="s">
        <v>34</v>
      </c>
      <c r="G1368">
        <v>1</v>
      </c>
      <c r="H1368">
        <v>0</v>
      </c>
      <c r="I1368">
        <f t="shared" si="53"/>
        <v>1</v>
      </c>
      <c r="K1368" s="9">
        <v>8</v>
      </c>
      <c r="L1368" s="9">
        <v>0</v>
      </c>
      <c r="M1368" s="1">
        <f t="shared" si="52"/>
        <v>8</v>
      </c>
      <c r="N1368" s="11">
        <f t="shared" si="54"/>
        <v>8</v>
      </c>
    </row>
    <row r="1369" spans="2:14" x14ac:dyDescent="0.2">
      <c r="B1369" t="s">
        <v>277</v>
      </c>
      <c r="C1369" t="s">
        <v>899</v>
      </c>
      <c r="D1369" t="s">
        <v>34</v>
      </c>
      <c r="G1369">
        <v>1</v>
      </c>
      <c r="H1369">
        <v>0</v>
      </c>
      <c r="I1369">
        <f t="shared" si="53"/>
        <v>1</v>
      </c>
      <c r="K1369" s="9">
        <v>8</v>
      </c>
      <c r="L1369" s="9">
        <v>0</v>
      </c>
      <c r="M1369" s="1">
        <f t="shared" si="52"/>
        <v>8</v>
      </c>
      <c r="N1369" s="11">
        <f t="shared" si="54"/>
        <v>8</v>
      </c>
    </row>
    <row r="1370" spans="2:14" x14ac:dyDescent="0.2">
      <c r="B1370" t="s">
        <v>277</v>
      </c>
      <c r="C1370" t="s">
        <v>367</v>
      </c>
      <c r="D1370" t="s">
        <v>34</v>
      </c>
      <c r="G1370">
        <v>2</v>
      </c>
      <c r="H1370">
        <v>0</v>
      </c>
      <c r="I1370">
        <f t="shared" si="53"/>
        <v>2</v>
      </c>
      <c r="K1370" s="9">
        <v>8</v>
      </c>
      <c r="L1370" s="9">
        <v>0</v>
      </c>
      <c r="M1370" s="1">
        <f t="shared" si="52"/>
        <v>8</v>
      </c>
      <c r="N1370" s="11">
        <f t="shared" si="54"/>
        <v>16</v>
      </c>
    </row>
    <row r="1371" spans="2:14" x14ac:dyDescent="0.2">
      <c r="B1371" t="s">
        <v>277</v>
      </c>
      <c r="C1371" t="s">
        <v>909</v>
      </c>
      <c r="D1371" t="s">
        <v>34</v>
      </c>
      <c r="G1371">
        <v>1</v>
      </c>
      <c r="H1371">
        <v>0</v>
      </c>
      <c r="I1371">
        <f t="shared" si="53"/>
        <v>1</v>
      </c>
      <c r="K1371" s="9">
        <v>8</v>
      </c>
      <c r="L1371" s="9">
        <v>0</v>
      </c>
      <c r="M1371" s="1">
        <f t="shared" si="52"/>
        <v>8</v>
      </c>
      <c r="N1371" s="11">
        <f t="shared" si="54"/>
        <v>8</v>
      </c>
    </row>
    <row r="1372" spans="2:14" x14ac:dyDescent="0.2">
      <c r="B1372" t="s">
        <v>277</v>
      </c>
      <c r="C1372" t="s">
        <v>1253</v>
      </c>
      <c r="D1372" t="s">
        <v>34</v>
      </c>
      <c r="G1372">
        <v>1</v>
      </c>
      <c r="H1372">
        <v>0</v>
      </c>
      <c r="I1372">
        <f t="shared" si="53"/>
        <v>1</v>
      </c>
      <c r="K1372" s="9">
        <v>8</v>
      </c>
      <c r="L1372" s="9">
        <v>0</v>
      </c>
      <c r="M1372" s="1">
        <f t="shared" si="52"/>
        <v>8</v>
      </c>
      <c r="N1372" s="11">
        <f t="shared" si="54"/>
        <v>8</v>
      </c>
    </row>
    <row r="1373" spans="2:14" x14ac:dyDescent="0.2">
      <c r="B1373" t="s">
        <v>277</v>
      </c>
      <c r="C1373" t="s">
        <v>1254</v>
      </c>
      <c r="D1373" t="s">
        <v>34</v>
      </c>
      <c r="G1373">
        <v>1</v>
      </c>
      <c r="H1373">
        <v>0</v>
      </c>
      <c r="I1373">
        <f t="shared" ref="I1373:I1404" si="55">G1373</f>
        <v>1</v>
      </c>
      <c r="K1373" s="9">
        <v>8</v>
      </c>
      <c r="L1373" s="9">
        <v>0</v>
      </c>
      <c r="M1373" s="1">
        <f t="shared" si="52"/>
        <v>8</v>
      </c>
      <c r="N1373" s="11">
        <f t="shared" si="54"/>
        <v>8</v>
      </c>
    </row>
    <row r="1374" spans="2:14" x14ac:dyDescent="0.2">
      <c r="B1374" t="s">
        <v>277</v>
      </c>
      <c r="C1374" t="s">
        <v>1255</v>
      </c>
      <c r="D1374" t="s">
        <v>34</v>
      </c>
      <c r="G1374">
        <v>2</v>
      </c>
      <c r="H1374">
        <v>0</v>
      </c>
      <c r="I1374">
        <f t="shared" si="55"/>
        <v>2</v>
      </c>
      <c r="K1374" s="9">
        <v>8</v>
      </c>
      <c r="L1374" s="9">
        <v>0</v>
      </c>
      <c r="M1374" s="1">
        <f t="shared" si="52"/>
        <v>8</v>
      </c>
      <c r="N1374" s="11">
        <f t="shared" si="54"/>
        <v>16</v>
      </c>
    </row>
    <row r="1375" spans="2:14" x14ac:dyDescent="0.2">
      <c r="B1375" t="s">
        <v>277</v>
      </c>
      <c r="C1375" t="s">
        <v>1256</v>
      </c>
      <c r="D1375" t="s">
        <v>34</v>
      </c>
      <c r="G1375">
        <v>1</v>
      </c>
      <c r="H1375">
        <v>0</v>
      </c>
      <c r="I1375">
        <f t="shared" si="55"/>
        <v>1</v>
      </c>
      <c r="K1375" s="9">
        <v>8</v>
      </c>
      <c r="L1375" s="9">
        <v>0</v>
      </c>
      <c r="M1375" s="1">
        <f t="shared" si="52"/>
        <v>8</v>
      </c>
      <c r="N1375" s="11">
        <f t="shared" si="54"/>
        <v>8</v>
      </c>
    </row>
    <row r="1376" spans="2:14" x14ac:dyDescent="0.2">
      <c r="B1376" t="s">
        <v>277</v>
      </c>
      <c r="C1376" t="s">
        <v>1257</v>
      </c>
      <c r="D1376" t="s">
        <v>34</v>
      </c>
      <c r="G1376">
        <v>4</v>
      </c>
      <c r="H1376">
        <v>0</v>
      </c>
      <c r="I1376">
        <f t="shared" si="55"/>
        <v>4</v>
      </c>
      <c r="K1376" s="9">
        <v>8</v>
      </c>
      <c r="L1376" s="9">
        <v>0</v>
      </c>
      <c r="M1376" s="1">
        <f t="shared" si="52"/>
        <v>8</v>
      </c>
      <c r="N1376" s="11">
        <f t="shared" si="54"/>
        <v>32</v>
      </c>
    </row>
    <row r="1377" spans="2:14" x14ac:dyDescent="0.2">
      <c r="B1377" t="s">
        <v>277</v>
      </c>
      <c r="C1377" t="s">
        <v>1258</v>
      </c>
      <c r="D1377" t="s">
        <v>34</v>
      </c>
      <c r="G1377">
        <v>5</v>
      </c>
      <c r="H1377">
        <v>0</v>
      </c>
      <c r="I1377">
        <f t="shared" si="55"/>
        <v>5</v>
      </c>
      <c r="K1377" s="9">
        <v>8</v>
      </c>
      <c r="L1377" s="9">
        <v>0</v>
      </c>
      <c r="M1377" s="1">
        <f t="shared" si="52"/>
        <v>8</v>
      </c>
      <c r="N1377" s="11">
        <f t="shared" si="54"/>
        <v>40</v>
      </c>
    </row>
    <row r="1378" spans="2:14" x14ac:dyDescent="0.2">
      <c r="B1378" t="s">
        <v>277</v>
      </c>
      <c r="C1378" t="s">
        <v>1259</v>
      </c>
      <c r="D1378" t="s">
        <v>34</v>
      </c>
      <c r="G1378">
        <v>2</v>
      </c>
      <c r="H1378">
        <v>0</v>
      </c>
      <c r="I1378">
        <f t="shared" si="55"/>
        <v>2</v>
      </c>
      <c r="K1378" s="9">
        <v>8</v>
      </c>
      <c r="L1378" s="9">
        <v>0</v>
      </c>
      <c r="M1378" s="1">
        <f t="shared" si="52"/>
        <v>8</v>
      </c>
      <c r="N1378" s="11">
        <f t="shared" si="54"/>
        <v>16</v>
      </c>
    </row>
    <row r="1379" spans="2:14" x14ac:dyDescent="0.2">
      <c r="B1379" t="s">
        <v>277</v>
      </c>
      <c r="C1379" t="s">
        <v>1260</v>
      </c>
      <c r="D1379" t="s">
        <v>34</v>
      </c>
      <c r="G1379">
        <v>1</v>
      </c>
      <c r="H1379">
        <v>0</v>
      </c>
      <c r="I1379">
        <f t="shared" si="55"/>
        <v>1</v>
      </c>
      <c r="K1379" s="9">
        <v>8</v>
      </c>
      <c r="L1379" s="9">
        <v>0</v>
      </c>
      <c r="M1379" s="1">
        <f t="shared" si="52"/>
        <v>8</v>
      </c>
      <c r="N1379" s="11">
        <f t="shared" si="54"/>
        <v>8</v>
      </c>
    </row>
    <row r="1380" spans="2:14" x14ac:dyDescent="0.2">
      <c r="B1380" t="s">
        <v>277</v>
      </c>
      <c r="C1380" t="s">
        <v>1261</v>
      </c>
      <c r="D1380" t="s">
        <v>34</v>
      </c>
      <c r="G1380">
        <v>2</v>
      </c>
      <c r="H1380">
        <v>0</v>
      </c>
      <c r="I1380">
        <f t="shared" si="55"/>
        <v>2</v>
      </c>
      <c r="K1380" s="9">
        <v>8</v>
      </c>
      <c r="L1380" s="9">
        <v>0</v>
      </c>
      <c r="M1380" s="1">
        <f t="shared" si="52"/>
        <v>8</v>
      </c>
      <c r="N1380" s="11">
        <f t="shared" si="54"/>
        <v>16</v>
      </c>
    </row>
    <row r="1381" spans="2:14" ht="13" customHeight="1" x14ac:dyDescent="0.2">
      <c r="B1381" t="s">
        <v>277</v>
      </c>
      <c r="C1381" t="s">
        <v>802</v>
      </c>
      <c r="D1381" t="s">
        <v>34</v>
      </c>
      <c r="G1381">
        <v>3</v>
      </c>
      <c r="H1381">
        <v>0</v>
      </c>
      <c r="I1381">
        <f t="shared" si="55"/>
        <v>3</v>
      </c>
      <c r="K1381" s="9">
        <v>8</v>
      </c>
      <c r="L1381" s="9">
        <v>0</v>
      </c>
      <c r="M1381" s="1">
        <f t="shared" si="52"/>
        <v>8</v>
      </c>
      <c r="N1381" s="11">
        <f t="shared" si="54"/>
        <v>24</v>
      </c>
    </row>
    <row r="1382" spans="2:14" x14ac:dyDescent="0.2">
      <c r="B1382" t="s">
        <v>277</v>
      </c>
      <c r="C1382" t="s">
        <v>1262</v>
      </c>
      <c r="D1382" t="s">
        <v>34</v>
      </c>
      <c r="G1382">
        <v>1</v>
      </c>
      <c r="H1382">
        <v>0</v>
      </c>
      <c r="I1382">
        <f t="shared" si="55"/>
        <v>1</v>
      </c>
      <c r="K1382" s="9">
        <v>8</v>
      </c>
      <c r="L1382" s="9">
        <v>0</v>
      </c>
      <c r="M1382" s="1">
        <f t="shared" si="52"/>
        <v>8</v>
      </c>
      <c r="N1382" s="11">
        <f t="shared" si="54"/>
        <v>8</v>
      </c>
    </row>
    <row r="1383" spans="2:14" x14ac:dyDescent="0.2">
      <c r="B1383" t="s">
        <v>277</v>
      </c>
      <c r="C1383" t="s">
        <v>1263</v>
      </c>
      <c r="D1383" t="s">
        <v>34</v>
      </c>
      <c r="G1383">
        <v>1</v>
      </c>
      <c r="H1383">
        <v>0</v>
      </c>
      <c r="I1383">
        <f t="shared" si="55"/>
        <v>1</v>
      </c>
      <c r="K1383" s="9">
        <v>8</v>
      </c>
      <c r="L1383" s="9">
        <v>0</v>
      </c>
      <c r="M1383" s="1">
        <f t="shared" si="52"/>
        <v>8</v>
      </c>
      <c r="N1383" s="11">
        <f t="shared" si="54"/>
        <v>8</v>
      </c>
    </row>
    <row r="1384" spans="2:14" x14ac:dyDescent="0.2">
      <c r="B1384" t="s">
        <v>277</v>
      </c>
      <c r="C1384" t="s">
        <v>1264</v>
      </c>
      <c r="D1384" t="s">
        <v>34</v>
      </c>
      <c r="G1384">
        <v>1</v>
      </c>
      <c r="H1384">
        <v>0</v>
      </c>
      <c r="I1384">
        <f t="shared" si="55"/>
        <v>1</v>
      </c>
      <c r="K1384" s="9">
        <v>8</v>
      </c>
      <c r="L1384" s="9">
        <v>0</v>
      </c>
      <c r="M1384" s="1">
        <f t="shared" si="52"/>
        <v>8</v>
      </c>
      <c r="N1384" s="11">
        <f t="shared" si="54"/>
        <v>8</v>
      </c>
    </row>
    <row r="1385" spans="2:14" x14ac:dyDescent="0.2">
      <c r="B1385" t="s">
        <v>277</v>
      </c>
      <c r="C1385" t="s">
        <v>1265</v>
      </c>
      <c r="D1385" t="s">
        <v>34</v>
      </c>
      <c r="G1385">
        <v>1</v>
      </c>
      <c r="H1385">
        <v>0</v>
      </c>
      <c r="I1385">
        <f t="shared" si="55"/>
        <v>1</v>
      </c>
      <c r="K1385" s="9">
        <v>8</v>
      </c>
      <c r="L1385" s="9">
        <v>0</v>
      </c>
      <c r="M1385" s="1">
        <f t="shared" si="52"/>
        <v>8</v>
      </c>
      <c r="N1385" s="11">
        <f t="shared" si="54"/>
        <v>8</v>
      </c>
    </row>
    <row r="1386" spans="2:14" x14ac:dyDescent="0.2">
      <c r="B1386" t="s">
        <v>277</v>
      </c>
      <c r="C1386" t="s">
        <v>1266</v>
      </c>
      <c r="D1386" t="s">
        <v>34</v>
      </c>
      <c r="G1386">
        <v>2</v>
      </c>
      <c r="H1386">
        <v>0</v>
      </c>
      <c r="I1386">
        <f t="shared" si="55"/>
        <v>2</v>
      </c>
      <c r="K1386" s="9">
        <v>8</v>
      </c>
      <c r="L1386" s="9">
        <v>0</v>
      </c>
      <c r="M1386" s="1">
        <f t="shared" si="52"/>
        <v>8</v>
      </c>
      <c r="N1386" s="11">
        <f t="shared" si="54"/>
        <v>16</v>
      </c>
    </row>
    <row r="1387" spans="2:14" x14ac:dyDescent="0.2">
      <c r="B1387" t="s">
        <v>277</v>
      </c>
      <c r="C1387" t="s">
        <v>1267</v>
      </c>
      <c r="D1387" t="s">
        <v>34</v>
      </c>
      <c r="G1387">
        <v>1</v>
      </c>
      <c r="H1387">
        <v>0</v>
      </c>
      <c r="I1387">
        <f t="shared" si="55"/>
        <v>1</v>
      </c>
      <c r="K1387" s="9">
        <v>8</v>
      </c>
      <c r="L1387" s="9">
        <v>0</v>
      </c>
      <c r="M1387" s="1">
        <f t="shared" si="52"/>
        <v>8</v>
      </c>
      <c r="N1387" s="11">
        <f t="shared" si="54"/>
        <v>8</v>
      </c>
    </row>
    <row r="1388" spans="2:14" x14ac:dyDescent="0.2">
      <c r="B1388" t="s">
        <v>277</v>
      </c>
      <c r="C1388" t="s">
        <v>1268</v>
      </c>
      <c r="D1388" t="s">
        <v>34</v>
      </c>
      <c r="G1388">
        <v>1</v>
      </c>
      <c r="H1388">
        <v>0</v>
      </c>
      <c r="I1388">
        <f t="shared" si="55"/>
        <v>1</v>
      </c>
      <c r="K1388" s="9">
        <v>8</v>
      </c>
      <c r="L1388" s="9">
        <v>0</v>
      </c>
      <c r="M1388" s="1">
        <f t="shared" si="52"/>
        <v>8</v>
      </c>
      <c r="N1388" s="11">
        <f t="shared" si="54"/>
        <v>8</v>
      </c>
    </row>
    <row r="1389" spans="2:14" x14ac:dyDescent="0.2">
      <c r="B1389" t="s">
        <v>315</v>
      </c>
      <c r="C1389" t="s">
        <v>1261</v>
      </c>
      <c r="D1389" t="s">
        <v>27</v>
      </c>
      <c r="G1389">
        <v>1</v>
      </c>
      <c r="H1389">
        <v>0</v>
      </c>
      <c r="I1389">
        <f t="shared" si="55"/>
        <v>1</v>
      </c>
      <c r="K1389" s="9">
        <v>8</v>
      </c>
      <c r="L1389" s="9">
        <v>0</v>
      </c>
      <c r="M1389" s="1">
        <f t="shared" si="52"/>
        <v>8</v>
      </c>
      <c r="N1389" s="11">
        <f t="shared" si="54"/>
        <v>8</v>
      </c>
    </row>
    <row r="1390" spans="2:14" x14ac:dyDescent="0.2">
      <c r="B1390" t="s">
        <v>315</v>
      </c>
      <c r="C1390" t="s">
        <v>1269</v>
      </c>
      <c r="D1390" t="s">
        <v>27</v>
      </c>
      <c r="G1390">
        <v>1</v>
      </c>
      <c r="H1390">
        <v>0</v>
      </c>
      <c r="I1390">
        <f t="shared" si="55"/>
        <v>1</v>
      </c>
      <c r="K1390" s="9">
        <v>8</v>
      </c>
      <c r="L1390" s="9">
        <v>0</v>
      </c>
      <c r="M1390" s="1">
        <f t="shared" si="52"/>
        <v>8</v>
      </c>
      <c r="N1390" s="11">
        <f t="shared" si="54"/>
        <v>8</v>
      </c>
    </row>
    <row r="1391" spans="2:14" x14ac:dyDescent="0.2">
      <c r="B1391" t="s">
        <v>315</v>
      </c>
      <c r="C1391" t="s">
        <v>1259</v>
      </c>
      <c r="D1391" t="s">
        <v>27</v>
      </c>
      <c r="G1391">
        <v>1</v>
      </c>
      <c r="H1391">
        <v>0</v>
      </c>
      <c r="I1391">
        <f t="shared" si="55"/>
        <v>1</v>
      </c>
      <c r="K1391" s="9">
        <v>8</v>
      </c>
      <c r="L1391" s="9">
        <v>0</v>
      </c>
      <c r="M1391" s="1">
        <f t="shared" si="52"/>
        <v>8</v>
      </c>
      <c r="N1391" s="11">
        <f t="shared" si="54"/>
        <v>8</v>
      </c>
    </row>
    <row r="1392" spans="2:14" x14ac:dyDescent="0.2">
      <c r="B1392" t="s">
        <v>277</v>
      </c>
      <c r="C1392" t="s">
        <v>1257</v>
      </c>
      <c r="D1392" t="s">
        <v>17</v>
      </c>
      <c r="G1392">
        <v>1</v>
      </c>
      <c r="H1392">
        <v>0</v>
      </c>
      <c r="I1392">
        <f t="shared" si="55"/>
        <v>1</v>
      </c>
      <c r="K1392" s="9">
        <v>8</v>
      </c>
      <c r="L1392" s="9">
        <v>0</v>
      </c>
      <c r="M1392" s="1">
        <f t="shared" si="52"/>
        <v>8</v>
      </c>
      <c r="N1392" s="11">
        <f t="shared" si="54"/>
        <v>8</v>
      </c>
    </row>
    <row r="1393" spans="2:14" x14ac:dyDescent="0.2">
      <c r="B1393" t="s">
        <v>282</v>
      </c>
      <c r="C1393" t="s">
        <v>1270</v>
      </c>
      <c r="D1393" t="s">
        <v>97</v>
      </c>
      <c r="G1393">
        <v>1</v>
      </c>
      <c r="H1393">
        <v>0</v>
      </c>
      <c r="I1393">
        <f t="shared" si="55"/>
        <v>1</v>
      </c>
      <c r="K1393" s="9">
        <v>8</v>
      </c>
      <c r="L1393" s="9">
        <v>0</v>
      </c>
      <c r="M1393" s="1">
        <f t="shared" si="52"/>
        <v>8</v>
      </c>
      <c r="N1393" s="11">
        <f t="shared" si="54"/>
        <v>8</v>
      </c>
    </row>
    <row r="1394" spans="2:14" x14ac:dyDescent="0.2">
      <c r="B1394" t="s">
        <v>282</v>
      </c>
      <c r="C1394" t="s">
        <v>1257</v>
      </c>
      <c r="D1394" t="s">
        <v>97</v>
      </c>
      <c r="G1394">
        <v>4</v>
      </c>
      <c r="H1394">
        <v>0</v>
      </c>
      <c r="I1394">
        <f t="shared" si="55"/>
        <v>4</v>
      </c>
      <c r="K1394" s="9">
        <v>8</v>
      </c>
      <c r="L1394" s="9">
        <v>0</v>
      </c>
      <c r="M1394" s="1">
        <f t="shared" si="52"/>
        <v>8</v>
      </c>
      <c r="N1394" s="11">
        <f t="shared" si="54"/>
        <v>32</v>
      </c>
    </row>
    <row r="1395" spans="2:14" x14ac:dyDescent="0.2">
      <c r="B1395" t="s">
        <v>282</v>
      </c>
      <c r="C1395" t="s">
        <v>1253</v>
      </c>
      <c r="D1395" t="s">
        <v>97</v>
      </c>
      <c r="G1395">
        <v>1</v>
      </c>
      <c r="H1395">
        <v>0</v>
      </c>
      <c r="I1395">
        <f t="shared" si="55"/>
        <v>1</v>
      </c>
      <c r="K1395" s="9">
        <v>8</v>
      </c>
      <c r="L1395" s="9">
        <v>0</v>
      </c>
      <c r="M1395" s="1">
        <f t="shared" si="52"/>
        <v>8</v>
      </c>
      <c r="N1395" s="11">
        <f t="shared" si="54"/>
        <v>8</v>
      </c>
    </row>
    <row r="1396" spans="2:14" x14ac:dyDescent="0.2">
      <c r="B1396" t="s">
        <v>282</v>
      </c>
      <c r="C1396" t="s">
        <v>1266</v>
      </c>
      <c r="D1396" t="s">
        <v>97</v>
      </c>
      <c r="G1396">
        <v>2</v>
      </c>
      <c r="H1396">
        <v>0</v>
      </c>
      <c r="I1396">
        <f t="shared" si="55"/>
        <v>2</v>
      </c>
      <c r="K1396" s="9">
        <v>8</v>
      </c>
      <c r="L1396" s="9">
        <v>0</v>
      </c>
      <c r="M1396" s="1">
        <f t="shared" si="52"/>
        <v>8</v>
      </c>
      <c r="N1396" s="11">
        <f t="shared" si="54"/>
        <v>16</v>
      </c>
    </row>
    <row r="1397" spans="2:14" x14ac:dyDescent="0.2">
      <c r="B1397" t="s">
        <v>282</v>
      </c>
      <c r="C1397" t="s">
        <v>1259</v>
      </c>
      <c r="D1397" t="s">
        <v>97</v>
      </c>
      <c r="G1397">
        <v>1</v>
      </c>
      <c r="H1397">
        <v>0</v>
      </c>
      <c r="I1397">
        <f t="shared" si="55"/>
        <v>1</v>
      </c>
      <c r="K1397" s="9">
        <v>8</v>
      </c>
      <c r="L1397" s="9">
        <v>0</v>
      </c>
      <c r="M1397" s="1">
        <f t="shared" si="52"/>
        <v>8</v>
      </c>
      <c r="N1397" s="11">
        <f t="shared" si="54"/>
        <v>8</v>
      </c>
    </row>
    <row r="1398" spans="2:14" x14ac:dyDescent="0.2">
      <c r="B1398" t="s">
        <v>282</v>
      </c>
      <c r="C1398" t="s">
        <v>1271</v>
      </c>
      <c r="D1398" t="s">
        <v>97</v>
      </c>
      <c r="G1398">
        <v>2</v>
      </c>
      <c r="H1398">
        <v>0</v>
      </c>
      <c r="I1398">
        <f t="shared" si="55"/>
        <v>2</v>
      </c>
      <c r="K1398" s="9">
        <v>8</v>
      </c>
      <c r="L1398" s="9">
        <v>0</v>
      </c>
      <c r="M1398" s="1">
        <f t="shared" si="52"/>
        <v>8</v>
      </c>
      <c r="N1398" s="11">
        <f t="shared" si="54"/>
        <v>16</v>
      </c>
    </row>
    <row r="1399" spans="2:14" x14ac:dyDescent="0.2">
      <c r="B1399" t="s">
        <v>282</v>
      </c>
      <c r="C1399" t="s">
        <v>1272</v>
      </c>
      <c r="D1399" t="s">
        <v>97</v>
      </c>
      <c r="G1399">
        <v>1</v>
      </c>
      <c r="H1399">
        <v>0</v>
      </c>
      <c r="I1399">
        <f t="shared" si="55"/>
        <v>1</v>
      </c>
      <c r="K1399" s="9">
        <v>8</v>
      </c>
      <c r="L1399" s="9">
        <v>0</v>
      </c>
      <c r="M1399" s="1">
        <f t="shared" si="52"/>
        <v>8</v>
      </c>
      <c r="N1399" s="11">
        <f t="shared" si="54"/>
        <v>8</v>
      </c>
    </row>
    <row r="1400" spans="2:14" x14ac:dyDescent="0.2">
      <c r="B1400" t="s">
        <v>285</v>
      </c>
      <c r="C1400" t="s">
        <v>1257</v>
      </c>
      <c r="D1400" t="s">
        <v>91</v>
      </c>
      <c r="G1400">
        <v>7</v>
      </c>
      <c r="H1400">
        <v>0</v>
      </c>
      <c r="I1400">
        <f t="shared" si="55"/>
        <v>7</v>
      </c>
      <c r="K1400" s="9">
        <v>8</v>
      </c>
      <c r="L1400" s="9">
        <v>0</v>
      </c>
      <c r="M1400" s="1">
        <f t="shared" si="52"/>
        <v>8</v>
      </c>
      <c r="N1400" s="11">
        <f t="shared" si="54"/>
        <v>56</v>
      </c>
    </row>
    <row r="1401" spans="2:14" x14ac:dyDescent="0.2">
      <c r="B1401" t="s">
        <v>285</v>
      </c>
      <c r="C1401" t="s">
        <v>483</v>
      </c>
      <c r="D1401" t="s">
        <v>91</v>
      </c>
      <c r="G1401">
        <v>1</v>
      </c>
      <c r="H1401">
        <v>0</v>
      </c>
      <c r="I1401">
        <f t="shared" si="55"/>
        <v>1</v>
      </c>
      <c r="K1401" s="9">
        <v>8</v>
      </c>
      <c r="L1401" s="9">
        <v>0</v>
      </c>
      <c r="M1401" s="1">
        <f t="shared" ref="M1401:M1464" si="56">K1401+L1401</f>
        <v>8</v>
      </c>
      <c r="N1401" s="11">
        <f t="shared" si="54"/>
        <v>8</v>
      </c>
    </row>
    <row r="1402" spans="2:14" x14ac:dyDescent="0.2">
      <c r="B1402" t="s">
        <v>285</v>
      </c>
      <c r="C1402" t="s">
        <v>1264</v>
      </c>
      <c r="D1402" t="s">
        <v>91</v>
      </c>
      <c r="G1402">
        <v>1</v>
      </c>
      <c r="H1402">
        <v>0</v>
      </c>
      <c r="I1402">
        <f t="shared" si="55"/>
        <v>1</v>
      </c>
      <c r="K1402" s="9">
        <v>8</v>
      </c>
      <c r="L1402" s="9">
        <v>0</v>
      </c>
      <c r="M1402" s="1">
        <f t="shared" si="56"/>
        <v>8</v>
      </c>
      <c r="N1402" s="11">
        <f t="shared" si="54"/>
        <v>8</v>
      </c>
    </row>
    <row r="1403" spans="2:14" x14ac:dyDescent="0.2">
      <c r="B1403" t="s">
        <v>285</v>
      </c>
      <c r="C1403" t="s">
        <v>1273</v>
      </c>
      <c r="D1403" t="s">
        <v>91</v>
      </c>
      <c r="G1403">
        <v>1</v>
      </c>
      <c r="H1403">
        <v>0</v>
      </c>
      <c r="I1403">
        <f t="shared" si="55"/>
        <v>1</v>
      </c>
      <c r="K1403" s="9">
        <v>8</v>
      </c>
      <c r="L1403" s="9">
        <v>0</v>
      </c>
      <c r="M1403" s="1">
        <f t="shared" si="56"/>
        <v>8</v>
      </c>
      <c r="N1403" s="11">
        <f t="shared" si="54"/>
        <v>8</v>
      </c>
    </row>
    <row r="1404" spans="2:14" x14ac:dyDescent="0.2">
      <c r="B1404" t="s">
        <v>285</v>
      </c>
      <c r="C1404" t="s">
        <v>1274</v>
      </c>
      <c r="D1404" t="s">
        <v>91</v>
      </c>
      <c r="G1404">
        <v>1</v>
      </c>
      <c r="H1404">
        <v>0</v>
      </c>
      <c r="I1404">
        <f t="shared" si="55"/>
        <v>1</v>
      </c>
      <c r="K1404" s="9">
        <v>8</v>
      </c>
      <c r="L1404" s="9">
        <v>0</v>
      </c>
      <c r="M1404" s="1">
        <f t="shared" si="56"/>
        <v>8</v>
      </c>
      <c r="N1404" s="11">
        <f t="shared" si="54"/>
        <v>8</v>
      </c>
    </row>
    <row r="1405" spans="2:14" x14ac:dyDescent="0.2">
      <c r="B1405" t="s">
        <v>215</v>
      </c>
      <c r="C1405" t="s">
        <v>1275</v>
      </c>
      <c r="D1405" t="s">
        <v>261</v>
      </c>
      <c r="G1405">
        <v>2</v>
      </c>
      <c r="H1405">
        <v>0</v>
      </c>
      <c r="I1405">
        <f t="shared" ref="I1405:I1422" si="57">G1405</f>
        <v>2</v>
      </c>
      <c r="K1405" s="9">
        <v>10</v>
      </c>
      <c r="L1405" s="9">
        <v>0</v>
      </c>
      <c r="M1405" s="1">
        <f t="shared" si="56"/>
        <v>10</v>
      </c>
      <c r="N1405" s="11">
        <f t="shared" si="54"/>
        <v>20</v>
      </c>
    </row>
    <row r="1406" spans="2:14" x14ac:dyDescent="0.2">
      <c r="B1406" t="s">
        <v>215</v>
      </c>
      <c r="C1406" t="s">
        <v>1276</v>
      </c>
      <c r="D1406" t="s">
        <v>257</v>
      </c>
      <c r="G1406">
        <v>4</v>
      </c>
      <c r="H1406">
        <v>0</v>
      </c>
      <c r="I1406">
        <f t="shared" si="57"/>
        <v>4</v>
      </c>
      <c r="K1406" s="9">
        <v>10</v>
      </c>
      <c r="L1406" s="9">
        <v>0</v>
      </c>
      <c r="M1406" s="1">
        <f t="shared" si="56"/>
        <v>10</v>
      </c>
      <c r="N1406" s="11">
        <f t="shared" si="54"/>
        <v>40</v>
      </c>
    </row>
    <row r="1407" spans="2:14" x14ac:dyDescent="0.2">
      <c r="B1407" t="s">
        <v>215</v>
      </c>
      <c r="C1407" t="s">
        <v>1277</v>
      </c>
      <c r="D1407" t="s">
        <v>261</v>
      </c>
      <c r="G1407">
        <v>1</v>
      </c>
      <c r="H1407">
        <v>0</v>
      </c>
      <c r="I1407">
        <f t="shared" si="57"/>
        <v>1</v>
      </c>
      <c r="K1407" s="9">
        <v>10</v>
      </c>
      <c r="L1407" s="9">
        <v>0</v>
      </c>
      <c r="M1407" s="1">
        <f t="shared" si="56"/>
        <v>10</v>
      </c>
      <c r="N1407" s="11">
        <f t="shared" si="54"/>
        <v>10</v>
      </c>
    </row>
    <row r="1408" spans="2:14" x14ac:dyDescent="0.2">
      <c r="B1408" t="s">
        <v>215</v>
      </c>
      <c r="C1408" t="s">
        <v>1277</v>
      </c>
      <c r="D1408" t="s">
        <v>257</v>
      </c>
      <c r="G1408">
        <v>1</v>
      </c>
      <c r="H1408">
        <v>0</v>
      </c>
      <c r="I1408">
        <f t="shared" si="57"/>
        <v>1</v>
      </c>
      <c r="K1408" s="9">
        <v>10</v>
      </c>
      <c r="L1408" s="9">
        <v>0</v>
      </c>
      <c r="M1408" s="1">
        <f t="shared" si="56"/>
        <v>10</v>
      </c>
      <c r="N1408" s="11">
        <f t="shared" si="54"/>
        <v>10</v>
      </c>
    </row>
    <row r="1409" spans="2:14" x14ac:dyDescent="0.2">
      <c r="B1409" t="s">
        <v>215</v>
      </c>
      <c r="C1409" t="s">
        <v>490</v>
      </c>
      <c r="D1409" t="s">
        <v>257</v>
      </c>
      <c r="G1409">
        <v>1</v>
      </c>
      <c r="H1409">
        <v>0</v>
      </c>
      <c r="I1409">
        <f t="shared" si="57"/>
        <v>1</v>
      </c>
      <c r="K1409" s="9">
        <v>10</v>
      </c>
      <c r="L1409" s="9">
        <v>0</v>
      </c>
      <c r="M1409" s="1">
        <f t="shared" si="56"/>
        <v>10</v>
      </c>
      <c r="N1409" s="11">
        <f t="shared" si="54"/>
        <v>10</v>
      </c>
    </row>
    <row r="1410" spans="2:14" x14ac:dyDescent="0.2">
      <c r="B1410" t="s">
        <v>215</v>
      </c>
      <c r="C1410" t="s">
        <v>1278</v>
      </c>
      <c r="D1410" t="s">
        <v>257</v>
      </c>
      <c r="G1410">
        <v>1</v>
      </c>
      <c r="H1410">
        <v>0</v>
      </c>
      <c r="I1410">
        <f t="shared" si="57"/>
        <v>1</v>
      </c>
      <c r="K1410" s="9">
        <v>10</v>
      </c>
      <c r="L1410" s="9">
        <v>0</v>
      </c>
      <c r="M1410" s="1">
        <f t="shared" si="56"/>
        <v>10</v>
      </c>
      <c r="N1410" s="11">
        <f t="shared" si="54"/>
        <v>10</v>
      </c>
    </row>
    <row r="1411" spans="2:14" x14ac:dyDescent="0.2">
      <c r="B1411" t="s">
        <v>215</v>
      </c>
      <c r="C1411" t="s">
        <v>490</v>
      </c>
      <c r="D1411" t="s">
        <v>261</v>
      </c>
      <c r="G1411">
        <v>1</v>
      </c>
      <c r="H1411">
        <v>0</v>
      </c>
      <c r="I1411">
        <f t="shared" si="57"/>
        <v>1</v>
      </c>
      <c r="K1411" s="9">
        <v>10</v>
      </c>
      <c r="L1411" s="9">
        <v>0</v>
      </c>
      <c r="M1411" s="1">
        <f t="shared" si="56"/>
        <v>10</v>
      </c>
      <c r="N1411" s="11">
        <f t="shared" ref="N1411:N1474" si="58">G1411*K1411</f>
        <v>10</v>
      </c>
    </row>
    <row r="1412" spans="2:14" x14ac:dyDescent="0.2">
      <c r="B1412" t="s">
        <v>215</v>
      </c>
      <c r="C1412" t="s">
        <v>1279</v>
      </c>
      <c r="D1412" t="s">
        <v>34</v>
      </c>
      <c r="G1412">
        <v>1</v>
      </c>
      <c r="H1412">
        <v>0</v>
      </c>
      <c r="I1412">
        <f t="shared" si="57"/>
        <v>1</v>
      </c>
      <c r="K1412" s="9">
        <v>8</v>
      </c>
      <c r="L1412" s="9">
        <v>0</v>
      </c>
      <c r="M1412" s="1">
        <f t="shared" si="56"/>
        <v>8</v>
      </c>
      <c r="N1412" s="11">
        <f t="shared" si="58"/>
        <v>8</v>
      </c>
    </row>
    <row r="1413" spans="2:14" x14ac:dyDescent="0.2">
      <c r="B1413" t="s">
        <v>215</v>
      </c>
      <c r="C1413" t="s">
        <v>1280</v>
      </c>
      <c r="D1413" t="s">
        <v>257</v>
      </c>
      <c r="G1413">
        <v>1</v>
      </c>
      <c r="H1413">
        <v>0</v>
      </c>
      <c r="I1413">
        <f t="shared" si="57"/>
        <v>1</v>
      </c>
      <c r="K1413" s="9">
        <v>10</v>
      </c>
      <c r="L1413" s="9">
        <v>0</v>
      </c>
      <c r="M1413" s="1">
        <f t="shared" si="56"/>
        <v>10</v>
      </c>
      <c r="N1413" s="11">
        <f t="shared" si="58"/>
        <v>10</v>
      </c>
    </row>
    <row r="1414" spans="2:14" x14ac:dyDescent="0.2">
      <c r="B1414" t="s">
        <v>32</v>
      </c>
      <c r="C1414" t="s">
        <v>413</v>
      </c>
      <c r="D1414" t="s">
        <v>34</v>
      </c>
      <c r="G1414">
        <v>1</v>
      </c>
      <c r="H1414">
        <v>0</v>
      </c>
      <c r="I1414">
        <f t="shared" si="57"/>
        <v>1</v>
      </c>
      <c r="K1414" s="9">
        <v>8</v>
      </c>
      <c r="L1414" s="9">
        <v>0</v>
      </c>
      <c r="M1414" s="1">
        <f t="shared" si="56"/>
        <v>8</v>
      </c>
      <c r="N1414" s="11">
        <f t="shared" si="58"/>
        <v>8</v>
      </c>
    </row>
    <row r="1415" spans="2:14" x14ac:dyDescent="0.2">
      <c r="B1415" t="s">
        <v>215</v>
      </c>
      <c r="C1415" t="s">
        <v>1007</v>
      </c>
      <c r="D1415" t="s">
        <v>257</v>
      </c>
      <c r="G1415">
        <v>1</v>
      </c>
      <c r="H1415">
        <v>0</v>
      </c>
      <c r="I1415">
        <f t="shared" si="57"/>
        <v>1</v>
      </c>
      <c r="K1415" s="9">
        <v>10</v>
      </c>
      <c r="L1415" s="9">
        <v>0</v>
      </c>
      <c r="M1415" s="1">
        <f t="shared" si="56"/>
        <v>10</v>
      </c>
      <c r="N1415" s="11">
        <f t="shared" si="58"/>
        <v>10</v>
      </c>
    </row>
    <row r="1416" spans="2:14" x14ac:dyDescent="0.2">
      <c r="B1416" t="s">
        <v>215</v>
      </c>
      <c r="C1416" t="s">
        <v>1099</v>
      </c>
      <c r="D1416" t="s">
        <v>261</v>
      </c>
      <c r="G1416">
        <v>1</v>
      </c>
      <c r="H1416">
        <v>0</v>
      </c>
      <c r="I1416">
        <f t="shared" si="57"/>
        <v>1</v>
      </c>
      <c r="K1416" s="9">
        <v>10</v>
      </c>
      <c r="L1416" s="9">
        <v>0</v>
      </c>
      <c r="M1416" s="1">
        <f t="shared" si="56"/>
        <v>10</v>
      </c>
      <c r="N1416" s="11">
        <f t="shared" si="58"/>
        <v>10</v>
      </c>
    </row>
    <row r="1417" spans="2:14" x14ac:dyDescent="0.2">
      <c r="B1417" t="s">
        <v>90</v>
      </c>
      <c r="C1417" t="s">
        <v>1281</v>
      </c>
      <c r="D1417" t="s">
        <v>236</v>
      </c>
      <c r="G1417">
        <v>1</v>
      </c>
      <c r="H1417">
        <v>0</v>
      </c>
      <c r="I1417">
        <f t="shared" si="57"/>
        <v>1</v>
      </c>
      <c r="K1417" s="9">
        <v>10</v>
      </c>
      <c r="L1417" s="9">
        <v>0</v>
      </c>
      <c r="M1417" s="1">
        <f t="shared" si="56"/>
        <v>10</v>
      </c>
      <c r="N1417" s="11">
        <f t="shared" si="58"/>
        <v>10</v>
      </c>
    </row>
    <row r="1418" spans="2:14" x14ac:dyDescent="0.2">
      <c r="B1418" t="s">
        <v>215</v>
      </c>
      <c r="C1418" t="s">
        <v>265</v>
      </c>
      <c r="D1418" t="s">
        <v>261</v>
      </c>
      <c r="G1418">
        <v>1</v>
      </c>
      <c r="H1418">
        <v>0</v>
      </c>
      <c r="I1418">
        <f t="shared" si="57"/>
        <v>1</v>
      </c>
      <c r="K1418" s="9">
        <v>10</v>
      </c>
      <c r="L1418" s="9">
        <v>0</v>
      </c>
      <c r="M1418" s="1">
        <f t="shared" si="56"/>
        <v>10</v>
      </c>
      <c r="N1418" s="11">
        <f t="shared" si="58"/>
        <v>10</v>
      </c>
    </row>
    <row r="1419" spans="2:14" x14ac:dyDescent="0.2">
      <c r="B1419" t="s">
        <v>32</v>
      </c>
      <c r="C1419" t="s">
        <v>1282</v>
      </c>
      <c r="D1419" t="s">
        <v>253</v>
      </c>
      <c r="G1419">
        <v>1</v>
      </c>
      <c r="H1419">
        <v>0</v>
      </c>
      <c r="I1419">
        <f t="shared" si="57"/>
        <v>1</v>
      </c>
      <c r="K1419" s="9">
        <v>10</v>
      </c>
      <c r="L1419" s="9">
        <v>0</v>
      </c>
      <c r="M1419" s="1">
        <f t="shared" si="56"/>
        <v>10</v>
      </c>
      <c r="N1419" s="11">
        <f t="shared" si="58"/>
        <v>10</v>
      </c>
    </row>
    <row r="1420" spans="2:14" x14ac:dyDescent="0.2">
      <c r="B1420" t="s">
        <v>215</v>
      </c>
      <c r="C1420" t="s">
        <v>1283</v>
      </c>
      <c r="D1420" t="s">
        <v>257</v>
      </c>
      <c r="G1420">
        <v>1</v>
      </c>
      <c r="H1420">
        <v>0</v>
      </c>
      <c r="I1420">
        <f t="shared" si="57"/>
        <v>1</v>
      </c>
      <c r="K1420" s="9">
        <v>10</v>
      </c>
      <c r="L1420" s="9">
        <v>0</v>
      </c>
      <c r="M1420" s="1">
        <f t="shared" si="56"/>
        <v>10</v>
      </c>
      <c r="N1420" s="11">
        <f t="shared" si="58"/>
        <v>10</v>
      </c>
    </row>
    <row r="1421" spans="2:14" x14ac:dyDescent="0.2">
      <c r="B1421" t="s">
        <v>90</v>
      </c>
      <c r="C1421" t="s">
        <v>1280</v>
      </c>
      <c r="D1421" t="s">
        <v>237</v>
      </c>
      <c r="G1421">
        <v>1</v>
      </c>
      <c r="H1421">
        <v>0</v>
      </c>
      <c r="I1421">
        <f t="shared" si="57"/>
        <v>1</v>
      </c>
      <c r="K1421" s="9">
        <v>10</v>
      </c>
      <c r="L1421" s="9">
        <v>0</v>
      </c>
      <c r="M1421" s="1">
        <f t="shared" si="56"/>
        <v>10</v>
      </c>
      <c r="N1421" s="11">
        <f t="shared" si="58"/>
        <v>10</v>
      </c>
    </row>
    <row r="1422" spans="2:14" x14ac:dyDescent="0.2">
      <c r="B1422" t="s">
        <v>90</v>
      </c>
      <c r="C1422" t="s">
        <v>1277</v>
      </c>
      <c r="D1422" t="s">
        <v>237</v>
      </c>
      <c r="G1422">
        <v>2</v>
      </c>
      <c r="H1422">
        <v>0</v>
      </c>
      <c r="I1422">
        <f t="shared" si="57"/>
        <v>2</v>
      </c>
      <c r="K1422" s="9">
        <v>10</v>
      </c>
      <c r="L1422" s="9">
        <v>0</v>
      </c>
      <c r="M1422" s="1">
        <f t="shared" si="56"/>
        <v>10</v>
      </c>
      <c r="N1422" s="11">
        <f t="shared" si="58"/>
        <v>20</v>
      </c>
    </row>
    <row r="1423" spans="2:14" x14ac:dyDescent="0.2">
      <c r="B1423" t="s">
        <v>90</v>
      </c>
      <c r="C1423" t="s">
        <v>1284</v>
      </c>
      <c r="D1423" t="s">
        <v>237</v>
      </c>
      <c r="G1423">
        <v>1</v>
      </c>
      <c r="H1423">
        <v>0</v>
      </c>
      <c r="I1423">
        <f t="shared" ref="I1423:I1460" si="59">G1423</f>
        <v>1</v>
      </c>
      <c r="K1423" s="9">
        <v>10</v>
      </c>
      <c r="L1423" s="9">
        <v>0</v>
      </c>
      <c r="M1423" s="1">
        <f t="shared" si="56"/>
        <v>10</v>
      </c>
      <c r="N1423" s="11">
        <f t="shared" si="58"/>
        <v>10</v>
      </c>
    </row>
    <row r="1424" spans="2:14" x14ac:dyDescent="0.2">
      <c r="B1424" t="s">
        <v>90</v>
      </c>
      <c r="C1424" t="s">
        <v>1283</v>
      </c>
      <c r="D1424" t="s">
        <v>237</v>
      </c>
      <c r="G1424">
        <v>2</v>
      </c>
      <c r="H1424">
        <v>0</v>
      </c>
      <c r="I1424">
        <f t="shared" si="59"/>
        <v>2</v>
      </c>
      <c r="K1424" s="9">
        <v>10</v>
      </c>
      <c r="L1424" s="9">
        <v>0</v>
      </c>
      <c r="M1424" s="1">
        <f t="shared" si="56"/>
        <v>10</v>
      </c>
      <c r="N1424" s="11">
        <f t="shared" si="58"/>
        <v>20</v>
      </c>
    </row>
    <row r="1425" spans="2:14" x14ac:dyDescent="0.2">
      <c r="B1425" t="s">
        <v>90</v>
      </c>
      <c r="C1425" t="s">
        <v>1285</v>
      </c>
      <c r="D1425" t="s">
        <v>237</v>
      </c>
      <c r="G1425">
        <v>1</v>
      </c>
      <c r="H1425">
        <v>0</v>
      </c>
      <c r="I1425">
        <f t="shared" si="59"/>
        <v>1</v>
      </c>
      <c r="K1425" s="9">
        <v>10</v>
      </c>
      <c r="L1425" s="9">
        <v>0</v>
      </c>
      <c r="M1425" s="1">
        <f t="shared" si="56"/>
        <v>10</v>
      </c>
      <c r="N1425" s="11">
        <f t="shared" si="58"/>
        <v>10</v>
      </c>
    </row>
    <row r="1426" spans="2:14" x14ac:dyDescent="0.2">
      <c r="B1426" t="s">
        <v>90</v>
      </c>
      <c r="C1426" t="s">
        <v>1276</v>
      </c>
      <c r="D1426" t="s">
        <v>102</v>
      </c>
      <c r="G1426">
        <v>1</v>
      </c>
      <c r="H1426">
        <v>0</v>
      </c>
      <c r="I1426">
        <f t="shared" si="59"/>
        <v>1</v>
      </c>
      <c r="K1426" s="9">
        <v>10</v>
      </c>
      <c r="L1426" s="9">
        <v>0</v>
      </c>
      <c r="M1426" s="1">
        <f t="shared" si="56"/>
        <v>10</v>
      </c>
      <c r="N1426" s="11">
        <f t="shared" si="58"/>
        <v>10</v>
      </c>
    </row>
    <row r="1427" spans="2:14" x14ac:dyDescent="0.2">
      <c r="B1427" t="s">
        <v>90</v>
      </c>
      <c r="C1427" t="s">
        <v>1286</v>
      </c>
      <c r="D1427" t="s">
        <v>102</v>
      </c>
      <c r="G1427">
        <v>1</v>
      </c>
      <c r="H1427">
        <v>0</v>
      </c>
      <c r="I1427">
        <f t="shared" si="59"/>
        <v>1</v>
      </c>
      <c r="K1427" s="9">
        <v>10</v>
      </c>
      <c r="L1427" s="9">
        <v>0</v>
      </c>
      <c r="M1427" s="1">
        <f t="shared" si="56"/>
        <v>10</v>
      </c>
      <c r="N1427" s="11">
        <f t="shared" si="58"/>
        <v>10</v>
      </c>
    </row>
    <row r="1428" spans="2:14" x14ac:dyDescent="0.2">
      <c r="B1428" t="s">
        <v>90</v>
      </c>
      <c r="C1428" t="s">
        <v>1277</v>
      </c>
      <c r="D1428" t="s">
        <v>102</v>
      </c>
      <c r="G1428">
        <v>2</v>
      </c>
      <c r="H1428">
        <v>0</v>
      </c>
      <c r="I1428">
        <f t="shared" si="59"/>
        <v>2</v>
      </c>
      <c r="K1428" s="9">
        <v>10</v>
      </c>
      <c r="L1428" s="9">
        <v>0</v>
      </c>
      <c r="M1428" s="1">
        <f t="shared" si="56"/>
        <v>10</v>
      </c>
      <c r="N1428" s="11">
        <f t="shared" si="58"/>
        <v>20</v>
      </c>
    </row>
    <row r="1429" spans="2:14" x14ac:dyDescent="0.2">
      <c r="B1429" t="s">
        <v>90</v>
      </c>
      <c r="C1429" t="s">
        <v>1287</v>
      </c>
      <c r="D1429" t="s">
        <v>102</v>
      </c>
      <c r="G1429">
        <v>1</v>
      </c>
      <c r="H1429">
        <v>0</v>
      </c>
      <c r="I1429">
        <f t="shared" si="59"/>
        <v>1</v>
      </c>
      <c r="K1429" s="9">
        <v>10</v>
      </c>
      <c r="L1429" s="9">
        <v>0</v>
      </c>
      <c r="M1429" s="1">
        <f t="shared" si="56"/>
        <v>10</v>
      </c>
      <c r="N1429" s="11">
        <f t="shared" si="58"/>
        <v>10</v>
      </c>
    </row>
    <row r="1430" spans="2:14" x14ac:dyDescent="0.2">
      <c r="B1430" t="s">
        <v>90</v>
      </c>
      <c r="C1430" t="s">
        <v>1287</v>
      </c>
      <c r="D1430" t="s">
        <v>236</v>
      </c>
      <c r="G1430">
        <v>1</v>
      </c>
      <c r="H1430">
        <v>0</v>
      </c>
      <c r="I1430">
        <f t="shared" si="59"/>
        <v>1</v>
      </c>
      <c r="K1430" s="9">
        <v>10</v>
      </c>
      <c r="L1430" s="9">
        <v>0</v>
      </c>
      <c r="M1430" s="1">
        <f t="shared" si="56"/>
        <v>10</v>
      </c>
      <c r="N1430" s="11">
        <f t="shared" si="58"/>
        <v>10</v>
      </c>
    </row>
    <row r="1431" spans="2:14" x14ac:dyDescent="0.2">
      <c r="B1431" t="s">
        <v>90</v>
      </c>
      <c r="C1431" t="s">
        <v>1277</v>
      </c>
      <c r="D1431" t="s">
        <v>236</v>
      </c>
      <c r="G1431">
        <v>1</v>
      </c>
      <c r="H1431">
        <v>0</v>
      </c>
      <c r="I1431">
        <f t="shared" si="59"/>
        <v>1</v>
      </c>
      <c r="K1431" s="9">
        <v>10</v>
      </c>
      <c r="L1431" s="9">
        <v>0</v>
      </c>
      <c r="M1431" s="1">
        <f t="shared" si="56"/>
        <v>10</v>
      </c>
      <c r="N1431" s="11">
        <f t="shared" si="58"/>
        <v>10</v>
      </c>
    </row>
    <row r="1432" spans="2:14" x14ac:dyDescent="0.2">
      <c r="B1432" t="s">
        <v>90</v>
      </c>
      <c r="C1432" t="s">
        <v>1288</v>
      </c>
      <c r="D1432" t="s">
        <v>236</v>
      </c>
      <c r="G1432">
        <v>1</v>
      </c>
      <c r="H1432">
        <v>0</v>
      </c>
      <c r="I1432">
        <f t="shared" si="59"/>
        <v>1</v>
      </c>
      <c r="K1432" s="9">
        <v>10</v>
      </c>
      <c r="L1432" s="9">
        <v>0</v>
      </c>
      <c r="M1432" s="1">
        <f t="shared" si="56"/>
        <v>10</v>
      </c>
      <c r="N1432" s="11">
        <f t="shared" si="58"/>
        <v>10</v>
      </c>
    </row>
    <row r="1433" spans="2:14" x14ac:dyDescent="0.2">
      <c r="B1433" t="s">
        <v>90</v>
      </c>
      <c r="C1433" t="s">
        <v>1283</v>
      </c>
      <c r="D1433" t="s">
        <v>236</v>
      </c>
      <c r="G1433">
        <v>1</v>
      </c>
      <c r="H1433">
        <v>0</v>
      </c>
      <c r="I1433">
        <f t="shared" si="59"/>
        <v>1</v>
      </c>
      <c r="K1433" s="9">
        <v>10</v>
      </c>
      <c r="L1433" s="9">
        <v>0</v>
      </c>
      <c r="M1433" s="1">
        <f t="shared" si="56"/>
        <v>10</v>
      </c>
      <c r="N1433" s="11">
        <f t="shared" si="58"/>
        <v>10</v>
      </c>
    </row>
    <row r="1434" spans="2:14" x14ac:dyDescent="0.2">
      <c r="B1434" t="s">
        <v>15</v>
      </c>
      <c r="C1434" t="s">
        <v>1289</v>
      </c>
      <c r="D1434" t="s">
        <v>1290</v>
      </c>
      <c r="G1434">
        <v>1</v>
      </c>
      <c r="H1434">
        <v>0</v>
      </c>
      <c r="I1434">
        <f t="shared" si="59"/>
        <v>1</v>
      </c>
      <c r="K1434" s="9">
        <v>10</v>
      </c>
      <c r="L1434" s="9">
        <v>0</v>
      </c>
      <c r="M1434" s="1">
        <f t="shared" si="56"/>
        <v>10</v>
      </c>
      <c r="N1434" s="11">
        <f t="shared" si="58"/>
        <v>10</v>
      </c>
    </row>
    <row r="1435" spans="2:14" x14ac:dyDescent="0.2">
      <c r="B1435" t="s">
        <v>15</v>
      </c>
      <c r="C1435" t="s">
        <v>490</v>
      </c>
      <c r="D1435" t="s">
        <v>1291</v>
      </c>
      <c r="G1435">
        <v>1</v>
      </c>
      <c r="H1435">
        <v>0</v>
      </c>
      <c r="I1435">
        <f t="shared" si="59"/>
        <v>1</v>
      </c>
      <c r="K1435" s="9">
        <v>10</v>
      </c>
      <c r="L1435" s="9">
        <v>0</v>
      </c>
      <c r="M1435" s="1">
        <f t="shared" si="56"/>
        <v>10</v>
      </c>
      <c r="N1435" s="11">
        <f t="shared" si="58"/>
        <v>10</v>
      </c>
    </row>
    <row r="1436" spans="2:14" x14ac:dyDescent="0.2">
      <c r="B1436" t="s">
        <v>15</v>
      </c>
      <c r="C1436" t="s">
        <v>1292</v>
      </c>
      <c r="D1436" t="s">
        <v>1291</v>
      </c>
      <c r="G1436">
        <v>1</v>
      </c>
      <c r="H1436">
        <v>0</v>
      </c>
      <c r="I1436">
        <f t="shared" si="59"/>
        <v>1</v>
      </c>
      <c r="K1436" s="9">
        <v>10</v>
      </c>
      <c r="L1436" s="9">
        <v>0</v>
      </c>
      <c r="M1436" s="1">
        <f t="shared" si="56"/>
        <v>10</v>
      </c>
      <c r="N1436" s="11">
        <f t="shared" si="58"/>
        <v>10</v>
      </c>
    </row>
    <row r="1437" spans="2:14" x14ac:dyDescent="0.2">
      <c r="B1437" t="s">
        <v>32</v>
      </c>
      <c r="C1437" t="s">
        <v>1293</v>
      </c>
      <c r="D1437" t="s">
        <v>71</v>
      </c>
      <c r="G1437">
        <v>3</v>
      </c>
      <c r="H1437">
        <v>0</v>
      </c>
      <c r="I1437">
        <f t="shared" si="59"/>
        <v>3</v>
      </c>
      <c r="K1437" s="9">
        <v>10</v>
      </c>
      <c r="L1437" s="9">
        <v>0</v>
      </c>
      <c r="M1437" s="1">
        <f t="shared" si="56"/>
        <v>10</v>
      </c>
      <c r="N1437" s="11">
        <f t="shared" si="58"/>
        <v>30</v>
      </c>
    </row>
    <row r="1438" spans="2:14" x14ac:dyDescent="0.2">
      <c r="B1438" t="s">
        <v>32</v>
      </c>
      <c r="C1438" t="s">
        <v>1277</v>
      </c>
      <c r="D1438" t="s">
        <v>71</v>
      </c>
      <c r="G1438">
        <v>2</v>
      </c>
      <c r="H1438">
        <v>0</v>
      </c>
      <c r="I1438">
        <f t="shared" si="59"/>
        <v>2</v>
      </c>
      <c r="K1438" s="9">
        <v>10</v>
      </c>
      <c r="L1438" s="9">
        <v>0</v>
      </c>
      <c r="M1438" s="1">
        <f t="shared" si="56"/>
        <v>10</v>
      </c>
      <c r="N1438" s="11">
        <f t="shared" si="58"/>
        <v>20</v>
      </c>
    </row>
    <row r="1439" spans="2:14" x14ac:dyDescent="0.2">
      <c r="B1439" t="s">
        <v>32</v>
      </c>
      <c r="C1439" t="s">
        <v>1276</v>
      </c>
      <c r="D1439" t="s">
        <v>71</v>
      </c>
      <c r="G1439">
        <v>1</v>
      </c>
      <c r="H1439">
        <v>0</v>
      </c>
      <c r="I1439">
        <f t="shared" si="59"/>
        <v>1</v>
      </c>
      <c r="K1439" s="9">
        <v>10</v>
      </c>
      <c r="L1439" s="9">
        <v>0</v>
      </c>
      <c r="M1439" s="1">
        <f t="shared" si="56"/>
        <v>10</v>
      </c>
      <c r="N1439" s="11">
        <f t="shared" si="58"/>
        <v>10</v>
      </c>
    </row>
    <row r="1440" spans="2:14" x14ac:dyDescent="0.2">
      <c r="B1440" t="s">
        <v>32</v>
      </c>
      <c r="C1440" t="s">
        <v>1294</v>
      </c>
      <c r="D1440" t="s">
        <v>71</v>
      </c>
      <c r="G1440">
        <v>1</v>
      </c>
      <c r="H1440">
        <v>0</v>
      </c>
      <c r="I1440">
        <f t="shared" si="59"/>
        <v>1</v>
      </c>
      <c r="K1440" s="9">
        <v>10</v>
      </c>
      <c r="L1440" s="9">
        <v>0</v>
      </c>
      <c r="M1440" s="1">
        <f t="shared" si="56"/>
        <v>10</v>
      </c>
      <c r="N1440" s="11">
        <f t="shared" si="58"/>
        <v>10</v>
      </c>
    </row>
    <row r="1441" spans="2:14" x14ac:dyDescent="0.2">
      <c r="B1441" t="s">
        <v>32</v>
      </c>
      <c r="C1441" t="s">
        <v>1289</v>
      </c>
      <c r="D1441" t="s">
        <v>71</v>
      </c>
      <c r="G1441">
        <v>1</v>
      </c>
      <c r="H1441">
        <v>0</v>
      </c>
      <c r="I1441">
        <f t="shared" si="59"/>
        <v>1</v>
      </c>
      <c r="K1441" s="9">
        <v>10</v>
      </c>
      <c r="L1441" s="9">
        <v>0</v>
      </c>
      <c r="M1441" s="1">
        <f t="shared" si="56"/>
        <v>10</v>
      </c>
      <c r="N1441" s="11">
        <f t="shared" si="58"/>
        <v>10</v>
      </c>
    </row>
    <row r="1442" spans="2:14" x14ac:dyDescent="0.2">
      <c r="B1442" t="s">
        <v>32</v>
      </c>
      <c r="C1442" t="s">
        <v>1295</v>
      </c>
      <c r="D1442" t="s">
        <v>71</v>
      </c>
      <c r="G1442">
        <v>1</v>
      </c>
      <c r="H1442">
        <v>0</v>
      </c>
      <c r="I1442">
        <f t="shared" si="59"/>
        <v>1</v>
      </c>
      <c r="K1442" s="9">
        <v>10</v>
      </c>
      <c r="L1442" s="9">
        <v>0</v>
      </c>
      <c r="M1442" s="1">
        <f t="shared" si="56"/>
        <v>10</v>
      </c>
      <c r="N1442" s="11">
        <f t="shared" si="58"/>
        <v>10</v>
      </c>
    </row>
    <row r="1443" spans="2:14" x14ac:dyDescent="0.2">
      <c r="B1443" t="s">
        <v>32</v>
      </c>
      <c r="C1443" t="s">
        <v>1296</v>
      </c>
      <c r="D1443" t="s">
        <v>71</v>
      </c>
      <c r="G1443">
        <v>1</v>
      </c>
      <c r="H1443">
        <v>0</v>
      </c>
      <c r="I1443">
        <f t="shared" si="59"/>
        <v>1</v>
      </c>
      <c r="K1443" s="9">
        <v>10</v>
      </c>
      <c r="L1443" s="9">
        <v>0</v>
      </c>
      <c r="M1443" s="1">
        <f t="shared" si="56"/>
        <v>10</v>
      </c>
      <c r="N1443" s="11">
        <f t="shared" si="58"/>
        <v>10</v>
      </c>
    </row>
    <row r="1444" spans="2:14" x14ac:dyDescent="0.2">
      <c r="B1444" t="s">
        <v>32</v>
      </c>
      <c r="C1444" t="s">
        <v>1297</v>
      </c>
      <c r="D1444" t="s">
        <v>253</v>
      </c>
      <c r="G1444">
        <v>1</v>
      </c>
      <c r="H1444">
        <v>0</v>
      </c>
      <c r="I1444">
        <f t="shared" si="59"/>
        <v>1</v>
      </c>
      <c r="K1444" s="9">
        <v>10</v>
      </c>
      <c r="L1444" s="9">
        <v>0</v>
      </c>
      <c r="M1444" s="1">
        <f t="shared" si="56"/>
        <v>10</v>
      </c>
      <c r="N1444" s="11">
        <f t="shared" si="58"/>
        <v>10</v>
      </c>
    </row>
    <row r="1445" spans="2:14" x14ac:dyDescent="0.2">
      <c r="B1445" t="s">
        <v>32</v>
      </c>
      <c r="C1445" t="s">
        <v>1277</v>
      </c>
      <c r="D1445" t="s">
        <v>253</v>
      </c>
      <c r="G1445">
        <v>1</v>
      </c>
      <c r="H1445">
        <v>0</v>
      </c>
      <c r="I1445">
        <f t="shared" si="59"/>
        <v>1</v>
      </c>
      <c r="K1445" s="9">
        <v>10</v>
      </c>
      <c r="L1445" s="9">
        <v>0</v>
      </c>
      <c r="M1445" s="1">
        <f t="shared" si="56"/>
        <v>10</v>
      </c>
      <c r="N1445" s="11">
        <f t="shared" si="58"/>
        <v>10</v>
      </c>
    </row>
    <row r="1446" spans="2:14" x14ac:dyDescent="0.2">
      <c r="B1446" t="s">
        <v>32</v>
      </c>
      <c r="C1446" t="s">
        <v>1283</v>
      </c>
      <c r="D1446" t="s">
        <v>253</v>
      </c>
      <c r="G1446">
        <v>1</v>
      </c>
      <c r="H1446">
        <v>0</v>
      </c>
      <c r="I1446">
        <f t="shared" si="59"/>
        <v>1</v>
      </c>
      <c r="K1446" s="9">
        <v>10</v>
      </c>
      <c r="L1446" s="9">
        <v>0</v>
      </c>
      <c r="M1446" s="1">
        <f t="shared" si="56"/>
        <v>10</v>
      </c>
      <c r="N1446" s="11">
        <f t="shared" si="58"/>
        <v>10</v>
      </c>
    </row>
    <row r="1447" spans="2:14" x14ac:dyDescent="0.2">
      <c r="B1447" t="s">
        <v>32</v>
      </c>
      <c r="C1447" t="s">
        <v>1292</v>
      </c>
      <c r="D1447" t="s">
        <v>253</v>
      </c>
      <c r="G1447">
        <v>1</v>
      </c>
      <c r="H1447">
        <v>0</v>
      </c>
      <c r="I1447">
        <f t="shared" si="59"/>
        <v>1</v>
      </c>
      <c r="K1447" s="9">
        <v>10</v>
      </c>
      <c r="L1447" s="9">
        <v>0</v>
      </c>
      <c r="M1447" s="1">
        <f t="shared" si="56"/>
        <v>10</v>
      </c>
      <c r="N1447" s="11">
        <f t="shared" si="58"/>
        <v>10</v>
      </c>
    </row>
    <row r="1448" spans="2:14" x14ac:dyDescent="0.2">
      <c r="B1448" t="s">
        <v>32</v>
      </c>
      <c r="C1448" t="s">
        <v>1296</v>
      </c>
      <c r="D1448" t="s">
        <v>253</v>
      </c>
      <c r="G1448">
        <v>1</v>
      </c>
      <c r="H1448">
        <v>0</v>
      </c>
      <c r="I1448">
        <f t="shared" si="59"/>
        <v>1</v>
      </c>
      <c r="K1448" s="9">
        <v>10</v>
      </c>
      <c r="L1448" s="9">
        <v>0</v>
      </c>
      <c r="M1448" s="1">
        <f t="shared" si="56"/>
        <v>10</v>
      </c>
      <c r="N1448" s="11">
        <f t="shared" si="58"/>
        <v>10</v>
      </c>
    </row>
    <row r="1449" spans="2:14" x14ac:dyDescent="0.2">
      <c r="B1449" t="s">
        <v>32</v>
      </c>
      <c r="C1449" t="s">
        <v>1004</v>
      </c>
      <c r="D1449" t="s">
        <v>253</v>
      </c>
      <c r="G1449">
        <v>1</v>
      </c>
      <c r="H1449">
        <v>0</v>
      </c>
      <c r="I1449">
        <f t="shared" si="59"/>
        <v>1</v>
      </c>
      <c r="K1449" s="9">
        <v>10</v>
      </c>
      <c r="L1449" s="9">
        <v>0</v>
      </c>
      <c r="M1449" s="1">
        <f t="shared" si="56"/>
        <v>10</v>
      </c>
      <c r="N1449" s="11">
        <f t="shared" si="58"/>
        <v>10</v>
      </c>
    </row>
    <row r="1450" spans="2:14" x14ac:dyDescent="0.2">
      <c r="B1450" t="s">
        <v>32</v>
      </c>
      <c r="C1450" t="s">
        <v>1294</v>
      </c>
      <c r="D1450" t="s">
        <v>34</v>
      </c>
      <c r="G1450">
        <v>1</v>
      </c>
      <c r="H1450">
        <v>0</v>
      </c>
      <c r="I1450">
        <f t="shared" si="59"/>
        <v>1</v>
      </c>
      <c r="K1450" s="9">
        <v>10</v>
      </c>
      <c r="L1450" s="9">
        <v>0</v>
      </c>
      <c r="M1450" s="1">
        <f t="shared" si="56"/>
        <v>10</v>
      </c>
      <c r="N1450" s="11">
        <f t="shared" si="58"/>
        <v>10</v>
      </c>
    </row>
    <row r="1451" spans="2:14" x14ac:dyDescent="0.2">
      <c r="B1451" t="s">
        <v>32</v>
      </c>
      <c r="C1451" t="s">
        <v>1275</v>
      </c>
      <c r="D1451" t="s">
        <v>253</v>
      </c>
      <c r="G1451">
        <v>1</v>
      </c>
      <c r="H1451">
        <v>0</v>
      </c>
      <c r="I1451">
        <f t="shared" si="59"/>
        <v>1</v>
      </c>
      <c r="K1451" s="9">
        <v>10</v>
      </c>
      <c r="L1451" s="9">
        <v>0</v>
      </c>
      <c r="M1451" s="1">
        <f t="shared" si="56"/>
        <v>10</v>
      </c>
      <c r="N1451" s="11">
        <f t="shared" si="58"/>
        <v>10</v>
      </c>
    </row>
    <row r="1452" spans="2:14" x14ac:dyDescent="0.2">
      <c r="B1452" t="s">
        <v>282</v>
      </c>
      <c r="C1452" t="s">
        <v>1258</v>
      </c>
      <c r="D1452" t="s">
        <v>97</v>
      </c>
      <c r="G1452">
        <v>1</v>
      </c>
      <c r="H1452">
        <v>0</v>
      </c>
      <c r="I1452">
        <f t="shared" si="59"/>
        <v>1</v>
      </c>
      <c r="K1452" s="9">
        <v>8</v>
      </c>
      <c r="L1452" s="9">
        <v>0</v>
      </c>
      <c r="M1452" s="1">
        <f t="shared" si="56"/>
        <v>8</v>
      </c>
      <c r="N1452" s="11">
        <f t="shared" si="58"/>
        <v>8</v>
      </c>
    </row>
    <row r="1453" spans="2:14" x14ac:dyDescent="0.2">
      <c r="K1453" s="9"/>
      <c r="L1453" s="9"/>
      <c r="N1453" s="11"/>
    </row>
    <row r="1454" spans="2:14" x14ac:dyDescent="0.2">
      <c r="K1454" s="9"/>
      <c r="L1454" s="9"/>
      <c r="N1454" s="11"/>
    </row>
    <row r="1455" spans="2:14" x14ac:dyDescent="0.2">
      <c r="K1455" s="9"/>
      <c r="L1455" s="9"/>
      <c r="N1455" s="11"/>
    </row>
    <row r="1456" spans="2:14" x14ac:dyDescent="0.2">
      <c r="K1456" s="9"/>
      <c r="L1456" s="9"/>
      <c r="N1456" s="11"/>
    </row>
    <row r="1457" spans="11:14" x14ac:dyDescent="0.2">
      <c r="K1457" s="9"/>
      <c r="L1457" s="9"/>
      <c r="N1457" s="11"/>
    </row>
    <row r="1458" spans="11:14" x14ac:dyDescent="0.2">
      <c r="K1458" s="9"/>
      <c r="L1458" s="9"/>
      <c r="N1458" s="11"/>
    </row>
    <row r="1459" spans="11:14" x14ac:dyDescent="0.2">
      <c r="K1459" s="9"/>
      <c r="L1459" s="9"/>
      <c r="N1459" s="11"/>
    </row>
    <row r="1460" spans="11:14" x14ac:dyDescent="0.2">
      <c r="K1460" s="9"/>
      <c r="L1460" s="9"/>
      <c r="N1460" s="11"/>
    </row>
    <row r="1461" spans="11:14" x14ac:dyDescent="0.2">
      <c r="K1461" s="9"/>
      <c r="L1461" s="9"/>
      <c r="N1461" s="11"/>
    </row>
    <row r="1462" spans="11:14" x14ac:dyDescent="0.2">
      <c r="K1462" s="9"/>
      <c r="L1462" s="9"/>
      <c r="N1462" s="11"/>
    </row>
    <row r="1463" spans="11:14" x14ac:dyDescent="0.2">
      <c r="K1463" s="9"/>
      <c r="L1463" s="9"/>
      <c r="N1463" s="11"/>
    </row>
    <row r="1464" spans="11:14" x14ac:dyDescent="0.2">
      <c r="L1464" s="9"/>
      <c r="N1464" s="11"/>
    </row>
    <row r="1465" spans="11:14" x14ac:dyDescent="0.2">
      <c r="L1465" s="9"/>
      <c r="N1465" s="11"/>
    </row>
    <row r="1466" spans="11:14" x14ac:dyDescent="0.2">
      <c r="L1466" s="9"/>
      <c r="N1466" s="11"/>
    </row>
    <row r="1467" spans="11:14" x14ac:dyDescent="0.2">
      <c r="L1467" s="9"/>
      <c r="N1467" s="11"/>
    </row>
    <row r="1468" spans="11:14" x14ac:dyDescent="0.2">
      <c r="L1468" s="9"/>
      <c r="N1468" s="11"/>
    </row>
    <row r="1469" spans="11:14" x14ac:dyDescent="0.2">
      <c r="L1469" s="9"/>
      <c r="N1469" s="11"/>
    </row>
    <row r="1470" spans="11:14" x14ac:dyDescent="0.2">
      <c r="L1470" s="9"/>
      <c r="N1470" s="11"/>
    </row>
    <row r="1471" spans="11:14" x14ac:dyDescent="0.2">
      <c r="L1471" s="9"/>
      <c r="N1471" s="11"/>
    </row>
    <row r="1472" spans="11:14" x14ac:dyDescent="0.2">
      <c r="L1472" s="9"/>
      <c r="N1472" s="11"/>
    </row>
    <row r="1473" spans="12:14" x14ac:dyDescent="0.2">
      <c r="L1473" s="9"/>
      <c r="N1473" s="11"/>
    </row>
    <row r="1474" spans="12:14" x14ac:dyDescent="0.2">
      <c r="L1474" s="9"/>
      <c r="N1474" s="11"/>
    </row>
    <row r="1475" spans="12:14" x14ac:dyDescent="0.2">
      <c r="L1475" s="9"/>
      <c r="N1475" s="11"/>
    </row>
    <row r="1476" spans="12:14" x14ac:dyDescent="0.2">
      <c r="L1476" s="9"/>
    </row>
    <row r="1477" spans="12:14" x14ac:dyDescent="0.2">
      <c r="L1477" s="9"/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Ivette Gálvez Toledo</dc:creator>
  <cp:lastModifiedBy>Letty</cp:lastModifiedBy>
  <dcterms:created xsi:type="dcterms:W3CDTF">2026-01-26T23:14:00Z</dcterms:created>
  <dcterms:modified xsi:type="dcterms:W3CDTF">2026-07-03T03:42:37Z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