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user/Documents/GitHub/ss/"/>
    </mc:Choice>
  </mc:AlternateContent>
  <xr:revisionPtr revIDLastSave="0" documentId="8_{308D8931-B227-024C-8D60-C3E60A9C184B}" xr6:coauthVersionLast="47" xr6:coauthVersionMax="47" xr10:uidLastSave="{00000000-0000-0000-0000-000000000000}"/>
  <bookViews>
    <workbookView xWindow="0" yWindow="600" windowWidth="24700" windowHeight="15400" xr2:uid="{00000000-000D-0000-FFFF-FFFF00000000}"/>
  </bookViews>
  <sheets>
    <sheet name="Ventas" sheetId="32" r:id="rId1"/>
    <sheet name="Salario" sheetId="33" r:id="rId2"/>
    <sheet name="DÍA 1" sheetId="30" r:id="rId3"/>
    <sheet name="DÍA 2" sheetId="31" r:id="rId4"/>
    <sheet name="DÍA 3" sheetId="1" r:id="rId5"/>
    <sheet name="DÍA 4" sheetId="2" r:id="rId6"/>
    <sheet name="DÍA 5" sheetId="3" r:id="rId7"/>
    <sheet name="DÍA 6" sheetId="4" r:id="rId8"/>
    <sheet name="DÍA 7" sheetId="5" r:id="rId9"/>
    <sheet name="DÍA 8" sheetId="6" r:id="rId10"/>
    <sheet name="DÍA 9" sheetId="7" r:id="rId11"/>
    <sheet name="DÍA 10" sheetId="8" r:id="rId12"/>
    <sheet name="DÍA 11" sheetId="9" r:id="rId13"/>
    <sheet name="DÍA 12" sheetId="10" r:id="rId14"/>
    <sheet name="DÍA 13" sheetId="11" r:id="rId15"/>
    <sheet name="DÍA 14" sheetId="12" r:id="rId16"/>
    <sheet name="DÍA 15" sheetId="13" r:id="rId17"/>
    <sheet name="DÍA 16" sheetId="14" r:id="rId18"/>
    <sheet name="DÍA 17" sheetId="15" r:id="rId19"/>
    <sheet name="DÍA 18" sheetId="16" r:id="rId20"/>
    <sheet name="DÍA 19" sheetId="17" r:id="rId21"/>
    <sheet name="DÍA 20" sheetId="18" r:id="rId22"/>
    <sheet name="DÍA 21" sheetId="19" r:id="rId23"/>
    <sheet name="DÍA 22" sheetId="20" r:id="rId24"/>
    <sheet name="DÍA 23" sheetId="21" r:id="rId25"/>
    <sheet name="DÍA 24" sheetId="22" r:id="rId26"/>
    <sheet name="DÍA 25" sheetId="23" r:id="rId27"/>
    <sheet name="DÍA 26" sheetId="24" r:id="rId28"/>
    <sheet name="DÍA 27" sheetId="25" r:id="rId29"/>
    <sheet name="DÍA 28" sheetId="26" r:id="rId30"/>
    <sheet name="DÍA 29" sheetId="27" r:id="rId31"/>
    <sheet name="DÍA 30" sheetId="28" r:id="rId32"/>
    <sheet name="Mes" sheetId="34" r:id="rId33"/>
    <sheet name="Sheet1" sheetId="29" state="hidden"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9" i="13" l="1"/>
  <c r="E16" i="20" l="1"/>
  <c r="W12" i="33"/>
  <c r="W13" i="33"/>
  <c r="W14" i="33"/>
  <c r="C59" i="12"/>
  <c r="C28" i="34" s="1"/>
  <c r="D61" i="12"/>
  <c r="D62" i="12"/>
  <c r="D63" i="12"/>
  <c r="D64" i="12"/>
  <c r="D65" i="12"/>
  <c r="D60" i="12"/>
  <c r="E13" i="28"/>
  <c r="E28" i="20"/>
  <c r="E26" i="20"/>
  <c r="E26" i="19"/>
  <c r="D24" i="34" s="1"/>
  <c r="E16" i="19"/>
  <c r="F17" i="6"/>
  <c r="E28" i="13"/>
  <c r="D26" i="34" s="1"/>
  <c r="D9" i="34"/>
  <c r="D11" i="34"/>
  <c r="D12" i="34"/>
  <c r="D10" i="34" s="1"/>
  <c r="D13" i="34"/>
  <c r="D14" i="34"/>
  <c r="D15" i="34"/>
  <c r="D16" i="34"/>
  <c r="D17" i="34"/>
  <c r="D18" i="34"/>
  <c r="D19" i="34"/>
  <c r="D20" i="34"/>
  <c r="D21" i="34"/>
  <c r="D22" i="34"/>
  <c r="D23" i="34"/>
  <c r="D25" i="34"/>
  <c r="D27" i="34"/>
  <c r="K8" i="34"/>
  <c r="C25" i="34"/>
  <c r="C26" i="34"/>
  <c r="C27" i="34"/>
  <c r="C9" i="34"/>
  <c r="C11" i="34"/>
  <c r="C10" i="34" s="1"/>
  <c r="C12" i="34"/>
  <c r="C13" i="34"/>
  <c r="C14" i="34"/>
  <c r="C15" i="34"/>
  <c r="C16" i="34"/>
  <c r="C17" i="34"/>
  <c r="C18" i="34"/>
  <c r="C19" i="34"/>
  <c r="C20" i="34"/>
  <c r="C21" i="34"/>
  <c r="C22" i="34"/>
  <c r="C23" i="34"/>
  <c r="C24" i="34"/>
  <c r="H23" i="34"/>
  <c r="F34" i="3"/>
  <c r="H4" i="20"/>
  <c r="V7" i="33"/>
  <c r="V8" i="33"/>
  <c r="V9" i="33"/>
  <c r="V10" i="33"/>
  <c r="V11" i="33"/>
  <c r="V12" i="33"/>
  <c r="V13" i="33"/>
  <c r="V14" i="33"/>
  <c r="V6" i="33"/>
  <c r="W17" i="33"/>
  <c r="S12" i="33"/>
  <c r="T12" i="33"/>
  <c r="U12" i="33"/>
  <c r="X12" i="33"/>
  <c r="Y12" i="33"/>
  <c r="Z12" i="33"/>
  <c r="AA12" i="33"/>
  <c r="AB12" i="33"/>
  <c r="AC12" i="33"/>
  <c r="AD12" i="33"/>
  <c r="AE12" i="33"/>
  <c r="AF12" i="33"/>
  <c r="AG12" i="33"/>
  <c r="S13" i="33"/>
  <c r="T13" i="33"/>
  <c r="U13" i="33"/>
  <c r="X13" i="33"/>
  <c r="Y13" i="33"/>
  <c r="Z13" i="33"/>
  <c r="AA13" i="33"/>
  <c r="AB13" i="33"/>
  <c r="AC13" i="33"/>
  <c r="AD13" i="33"/>
  <c r="AE13" i="33"/>
  <c r="AF13" i="33"/>
  <c r="AG13" i="33"/>
  <c r="S14" i="33"/>
  <c r="T14" i="33"/>
  <c r="U14" i="33"/>
  <c r="X14" i="33"/>
  <c r="Y14" i="33"/>
  <c r="Z14" i="33"/>
  <c r="AA14" i="33"/>
  <c r="AB14" i="33"/>
  <c r="AC14" i="33"/>
  <c r="AD14" i="33"/>
  <c r="AE14" i="33"/>
  <c r="AF14" i="33"/>
  <c r="AG14" i="33"/>
  <c r="E39" i="15"/>
  <c r="C15" i="33"/>
  <c r="C7" i="33"/>
  <c r="D7" i="33"/>
  <c r="E7" i="33"/>
  <c r="F7" i="33"/>
  <c r="G7" i="33"/>
  <c r="H7" i="33"/>
  <c r="I7" i="33"/>
  <c r="J7" i="33"/>
  <c r="K7" i="33"/>
  <c r="L7" i="33"/>
  <c r="M7" i="33"/>
  <c r="N7" i="33"/>
  <c r="O7" i="33"/>
  <c r="P7" i="33"/>
  <c r="Q7" i="33"/>
  <c r="R7" i="33"/>
  <c r="S7" i="33"/>
  <c r="T7" i="33"/>
  <c r="U7" i="33"/>
  <c r="W7" i="33"/>
  <c r="X7" i="33"/>
  <c r="Y7" i="33"/>
  <c r="Z7" i="33"/>
  <c r="AA7" i="33"/>
  <c r="AB7" i="33"/>
  <c r="AC7" i="33"/>
  <c r="AD7" i="33"/>
  <c r="AE7" i="33"/>
  <c r="AF7" i="33"/>
  <c r="AG7" i="33"/>
  <c r="C8" i="33"/>
  <c r="D8" i="33"/>
  <c r="E8" i="33"/>
  <c r="F8" i="33"/>
  <c r="G8" i="33"/>
  <c r="H8" i="33"/>
  <c r="I8" i="33"/>
  <c r="J8" i="33"/>
  <c r="K8" i="33"/>
  <c r="L8" i="33"/>
  <c r="M8" i="33"/>
  <c r="N8" i="33"/>
  <c r="O8" i="33"/>
  <c r="P8" i="33"/>
  <c r="Q8" i="33"/>
  <c r="R8" i="33"/>
  <c r="S8" i="33"/>
  <c r="T8" i="33"/>
  <c r="U8" i="33"/>
  <c r="W8" i="33"/>
  <c r="X8" i="33"/>
  <c r="Y8" i="33"/>
  <c r="Z8" i="33"/>
  <c r="AA8" i="33"/>
  <c r="AB8" i="33"/>
  <c r="AC8" i="33"/>
  <c r="AD8" i="33"/>
  <c r="AE8" i="33"/>
  <c r="AF8" i="33"/>
  <c r="AG8" i="33"/>
  <c r="C9" i="33"/>
  <c r="D9" i="33"/>
  <c r="E9" i="33"/>
  <c r="F9" i="33"/>
  <c r="G9" i="33"/>
  <c r="H9" i="33"/>
  <c r="I9" i="33"/>
  <c r="J9" i="33"/>
  <c r="K9" i="33"/>
  <c r="L9" i="33"/>
  <c r="M9" i="33"/>
  <c r="N9" i="33"/>
  <c r="O9" i="33"/>
  <c r="P9" i="33"/>
  <c r="Q9" i="33"/>
  <c r="R9" i="33"/>
  <c r="S9" i="33"/>
  <c r="T9" i="33"/>
  <c r="U9" i="33"/>
  <c r="W9" i="33"/>
  <c r="X9" i="33"/>
  <c r="Y9" i="33"/>
  <c r="Z9" i="33"/>
  <c r="AA9" i="33"/>
  <c r="AB9" i="33"/>
  <c r="AC9" i="33"/>
  <c r="AD9" i="33"/>
  <c r="AE9" i="33"/>
  <c r="AF9" i="33"/>
  <c r="AG9" i="33"/>
  <c r="C10" i="33"/>
  <c r="D10" i="33"/>
  <c r="E10" i="33"/>
  <c r="E15" i="33" s="1"/>
  <c r="F10" i="33"/>
  <c r="G10" i="33"/>
  <c r="H10" i="33"/>
  <c r="I10" i="33"/>
  <c r="J10" i="33"/>
  <c r="K10" i="33"/>
  <c r="L10" i="33"/>
  <c r="M10" i="33"/>
  <c r="M15" i="33" s="1"/>
  <c r="N10" i="33"/>
  <c r="O10" i="33"/>
  <c r="P10" i="33"/>
  <c r="Q10" i="33"/>
  <c r="R10" i="33"/>
  <c r="S10" i="33"/>
  <c r="T10" i="33"/>
  <c r="U10" i="33"/>
  <c r="W10" i="33"/>
  <c r="X10" i="33"/>
  <c r="Y10" i="33"/>
  <c r="Z10" i="33"/>
  <c r="AA10" i="33"/>
  <c r="AB10" i="33"/>
  <c r="AC10" i="33"/>
  <c r="AD10" i="33"/>
  <c r="AE10" i="33"/>
  <c r="AF10" i="33"/>
  <c r="AG10" i="33"/>
  <c r="C11" i="33"/>
  <c r="D11" i="33"/>
  <c r="E11" i="33"/>
  <c r="F11" i="33"/>
  <c r="G11" i="33"/>
  <c r="H11" i="33"/>
  <c r="I11" i="33"/>
  <c r="J11" i="33"/>
  <c r="K11" i="33"/>
  <c r="L11" i="33"/>
  <c r="M11" i="33"/>
  <c r="N11" i="33"/>
  <c r="O11" i="33"/>
  <c r="P11" i="33"/>
  <c r="Q11" i="33"/>
  <c r="R11" i="33"/>
  <c r="S11" i="33"/>
  <c r="T11" i="33"/>
  <c r="U11" i="33"/>
  <c r="W11" i="33"/>
  <c r="X11" i="33"/>
  <c r="Y11" i="33"/>
  <c r="Z11" i="33"/>
  <c r="AA11" i="33"/>
  <c r="AB11" i="33"/>
  <c r="AC11" i="33"/>
  <c r="AD11" i="33"/>
  <c r="AE11" i="33"/>
  <c r="AF11" i="33"/>
  <c r="AG11" i="33"/>
  <c r="C12" i="33"/>
  <c r="D12" i="33"/>
  <c r="E12" i="33"/>
  <c r="F12" i="33"/>
  <c r="G12" i="33"/>
  <c r="H12" i="33"/>
  <c r="I12" i="33"/>
  <c r="J12" i="33"/>
  <c r="K12" i="33"/>
  <c r="L12" i="33"/>
  <c r="M12" i="33"/>
  <c r="N12" i="33"/>
  <c r="O12" i="33"/>
  <c r="P12" i="33"/>
  <c r="Q12" i="33"/>
  <c r="R12" i="33"/>
  <c r="C13" i="33"/>
  <c r="D13" i="33"/>
  <c r="E13" i="33"/>
  <c r="F13" i="33"/>
  <c r="G13" i="33"/>
  <c r="H13" i="33"/>
  <c r="I13" i="33"/>
  <c r="J13" i="33"/>
  <c r="K13" i="33"/>
  <c r="L13" i="33"/>
  <c r="M13" i="33"/>
  <c r="N13" i="33"/>
  <c r="O13" i="33"/>
  <c r="P13" i="33"/>
  <c r="Q13" i="33"/>
  <c r="R13" i="33"/>
  <c r="C14" i="33"/>
  <c r="D14" i="33"/>
  <c r="E14" i="33"/>
  <c r="F14" i="33"/>
  <c r="G14" i="33"/>
  <c r="H14" i="33"/>
  <c r="I14" i="33"/>
  <c r="J14" i="33"/>
  <c r="K14" i="33"/>
  <c r="L14" i="33"/>
  <c r="M14" i="33"/>
  <c r="N14" i="33"/>
  <c r="O14" i="33"/>
  <c r="P14" i="33"/>
  <c r="Q14" i="33"/>
  <c r="R14" i="33"/>
  <c r="AG6" i="33"/>
  <c r="AF6" i="33"/>
  <c r="AE6" i="33"/>
  <c r="AD6" i="33"/>
  <c r="AC6" i="33"/>
  <c r="AB6" i="33"/>
  <c r="AB15" i="33" s="1"/>
  <c r="AA6" i="33"/>
  <c r="Z6" i="33"/>
  <c r="Y6" i="33"/>
  <c r="X6" i="33"/>
  <c r="W6" i="33"/>
  <c r="U6" i="33"/>
  <c r="T6" i="33"/>
  <c r="S6" i="33"/>
  <c r="S15" i="33" s="1"/>
  <c r="R6" i="33"/>
  <c r="Q6" i="33"/>
  <c r="P6" i="33"/>
  <c r="O6" i="33"/>
  <c r="O15" i="33" s="1"/>
  <c r="N6" i="33"/>
  <c r="M6" i="33"/>
  <c r="L6" i="33"/>
  <c r="K6" i="33"/>
  <c r="J6" i="33"/>
  <c r="J15" i="33" s="1"/>
  <c r="I6" i="33"/>
  <c r="H6" i="33"/>
  <c r="G6" i="33"/>
  <c r="F6" i="33"/>
  <c r="E6" i="33"/>
  <c r="D6" i="33"/>
  <c r="D15" i="33" s="1"/>
  <c r="C6" i="33"/>
  <c r="E18" i="32"/>
  <c r="F18" i="32"/>
  <c r="G18" i="32"/>
  <c r="H18" i="32"/>
  <c r="D18" i="32"/>
  <c r="E4" i="32"/>
  <c r="F4" i="32"/>
  <c r="G4" i="32"/>
  <c r="H4" i="32"/>
  <c r="I4" i="32"/>
  <c r="J4" i="32"/>
  <c r="E5" i="32"/>
  <c r="F5" i="32"/>
  <c r="G5" i="32"/>
  <c r="H5" i="32"/>
  <c r="J5" i="32"/>
  <c r="E6" i="32"/>
  <c r="F6" i="32"/>
  <c r="G6" i="32"/>
  <c r="H6" i="32"/>
  <c r="J6" i="32"/>
  <c r="E7" i="32"/>
  <c r="F7" i="32"/>
  <c r="G7" i="32"/>
  <c r="H7" i="32"/>
  <c r="J7" i="32"/>
  <c r="E8" i="32"/>
  <c r="F8" i="32"/>
  <c r="G8" i="32"/>
  <c r="H8" i="32"/>
  <c r="J8" i="32"/>
  <c r="E9" i="32"/>
  <c r="F9" i="32"/>
  <c r="G9" i="32"/>
  <c r="H9" i="32"/>
  <c r="J9" i="32"/>
  <c r="E10" i="32"/>
  <c r="F10" i="32"/>
  <c r="G10" i="32"/>
  <c r="H10" i="32"/>
  <c r="E11" i="32"/>
  <c r="F11" i="32"/>
  <c r="G11" i="32"/>
  <c r="H11" i="32"/>
  <c r="J11" i="32"/>
  <c r="E12" i="32"/>
  <c r="F12" i="32"/>
  <c r="G12" i="32"/>
  <c r="H12" i="32"/>
  <c r="J12" i="32"/>
  <c r="E13" i="32"/>
  <c r="F13" i="32"/>
  <c r="G13" i="32"/>
  <c r="H13" i="32"/>
  <c r="J13" i="32"/>
  <c r="E14" i="32"/>
  <c r="F14" i="32"/>
  <c r="G14" i="32"/>
  <c r="H14" i="32"/>
  <c r="E15" i="32"/>
  <c r="F15" i="32"/>
  <c r="G15" i="32"/>
  <c r="H15" i="32"/>
  <c r="J15" i="32"/>
  <c r="E16" i="32"/>
  <c r="F16" i="32"/>
  <c r="G16" i="32"/>
  <c r="H16" i="32"/>
  <c r="J16" i="32"/>
  <c r="E17" i="32"/>
  <c r="F17" i="32"/>
  <c r="G17" i="32"/>
  <c r="H17" i="32"/>
  <c r="E19" i="32"/>
  <c r="F19" i="32"/>
  <c r="G19" i="32"/>
  <c r="H19" i="32"/>
  <c r="E20" i="32"/>
  <c r="F20" i="32"/>
  <c r="G20" i="32"/>
  <c r="H20" i="32"/>
  <c r="E21" i="32"/>
  <c r="F21" i="32"/>
  <c r="G21" i="32"/>
  <c r="H21" i="32"/>
  <c r="E22" i="32"/>
  <c r="F22" i="32"/>
  <c r="G22" i="32"/>
  <c r="H22" i="32"/>
  <c r="E23" i="32"/>
  <c r="F23" i="32"/>
  <c r="G23" i="32"/>
  <c r="H23" i="32"/>
  <c r="J23" i="32"/>
  <c r="E24" i="32"/>
  <c r="F24" i="32"/>
  <c r="G24" i="32"/>
  <c r="H24" i="32"/>
  <c r="J24" i="32"/>
  <c r="E25" i="32"/>
  <c r="F25" i="32"/>
  <c r="G25" i="32"/>
  <c r="H25" i="32"/>
  <c r="J25" i="32"/>
  <c r="E26" i="32"/>
  <c r="F26" i="32"/>
  <c r="G26" i="32"/>
  <c r="H26" i="32"/>
  <c r="E27" i="32"/>
  <c r="F27" i="32"/>
  <c r="G27" i="32"/>
  <c r="H27" i="32"/>
  <c r="E28" i="32"/>
  <c r="F28" i="32"/>
  <c r="G28" i="32"/>
  <c r="H28" i="32"/>
  <c r="E29" i="32"/>
  <c r="F29" i="32"/>
  <c r="G29" i="32"/>
  <c r="H29" i="32"/>
  <c r="J29" i="32"/>
  <c r="E30" i="32"/>
  <c r="F30" i="32"/>
  <c r="G30" i="32"/>
  <c r="H30" i="32"/>
  <c r="J30" i="32"/>
  <c r="E31" i="32"/>
  <c r="F31" i="32"/>
  <c r="G31" i="32"/>
  <c r="H31" i="32"/>
  <c r="E32" i="32"/>
  <c r="F32" i="32"/>
  <c r="G32" i="32"/>
  <c r="H32" i="32"/>
  <c r="J32" i="32"/>
  <c r="E33" i="32"/>
  <c r="F33" i="32"/>
  <c r="G33" i="32"/>
  <c r="H33" i="32"/>
  <c r="I33" i="32"/>
  <c r="J33" i="32"/>
  <c r="D32" i="32"/>
  <c r="D31" i="32"/>
  <c r="D30" i="32"/>
  <c r="D29" i="32"/>
  <c r="D28" i="32"/>
  <c r="D27" i="32"/>
  <c r="D26" i="32"/>
  <c r="D25" i="32"/>
  <c r="D24" i="32"/>
  <c r="D23" i="32"/>
  <c r="D22" i="32"/>
  <c r="D21" i="32"/>
  <c r="D20" i="32"/>
  <c r="D19" i="32"/>
  <c r="E35" i="18"/>
  <c r="G5" i="14"/>
  <c r="D17" i="32"/>
  <c r="D16" i="32"/>
  <c r="D15" i="32"/>
  <c r="D14" i="32"/>
  <c r="D13" i="32"/>
  <c r="D12" i="32"/>
  <c r="D11" i="32"/>
  <c r="D10" i="32"/>
  <c r="D9" i="32"/>
  <c r="D8" i="32"/>
  <c r="D7" i="32"/>
  <c r="D6" i="32"/>
  <c r="D5" i="32"/>
  <c r="D4" i="32"/>
  <c r="R15" i="33" l="1"/>
  <c r="L15" i="33"/>
  <c r="V15" i="33"/>
  <c r="N15" i="33"/>
  <c r="U15" i="33"/>
  <c r="G15" i="33"/>
  <c r="I15" i="33"/>
  <c r="D59" i="12"/>
  <c r="D28" i="34" s="1"/>
  <c r="K15" i="33"/>
  <c r="P15" i="33"/>
  <c r="W15" i="33"/>
  <c r="AF15" i="33"/>
  <c r="AE15" i="33"/>
  <c r="AD15" i="33"/>
  <c r="AC15" i="33"/>
  <c r="AA15" i="33"/>
  <c r="Y15" i="33"/>
  <c r="AH8" i="33"/>
  <c r="X15" i="33"/>
  <c r="AH11" i="33"/>
  <c r="AH10" i="33"/>
  <c r="T15" i="33"/>
  <c r="AH14" i="33"/>
  <c r="AH13" i="33"/>
  <c r="AH12" i="33"/>
  <c r="AH9" i="33"/>
  <c r="AH7" i="33"/>
  <c r="H15" i="33"/>
  <c r="F15" i="33"/>
  <c r="Q15" i="33"/>
  <c r="Z15" i="33"/>
  <c r="AG15" i="33"/>
  <c r="AH6" i="33"/>
  <c r="H34" i="32"/>
  <c r="H36" i="32" s="1"/>
  <c r="E34" i="32"/>
  <c r="E36" i="32" s="1"/>
  <c r="F34" i="32"/>
  <c r="F36" i="32" s="1"/>
  <c r="G34" i="32"/>
  <c r="G36" i="32" s="1"/>
  <c r="AH15" i="33" l="1"/>
  <c r="H4" i="31" l="1"/>
  <c r="B54" i="31"/>
  <c r="C47" i="31"/>
  <c r="C10" i="31" s="1"/>
  <c r="C30" i="31" s="1"/>
  <c r="F38" i="31"/>
  <c r="F37" i="31"/>
  <c r="F36" i="31"/>
  <c r="F35" i="31"/>
  <c r="F34" i="31"/>
  <c r="G5" i="31"/>
  <c r="F5" i="31"/>
  <c r="F35" i="30"/>
  <c r="B54" i="30"/>
  <c r="C47" i="30"/>
  <c r="C10" i="30" s="1"/>
  <c r="F38" i="30"/>
  <c r="F37" i="30"/>
  <c r="F36" i="30"/>
  <c r="F34" i="30"/>
  <c r="H5" i="30"/>
  <c r="G5" i="30"/>
  <c r="F5" i="30"/>
  <c r="H5" i="31" l="1"/>
  <c r="I5" i="32"/>
  <c r="C30" i="30"/>
  <c r="J4" i="31"/>
  <c r="J4" i="30"/>
  <c r="K27" i="29"/>
  <c r="I29" i="29"/>
  <c r="I28" i="29"/>
  <c r="F3" i="29"/>
  <c r="K4" i="31" l="1"/>
  <c r="K5" i="32"/>
  <c r="K4" i="30"/>
  <c r="K4" i="32"/>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5" i="29"/>
  <c r="L4" i="30" l="1"/>
  <c r="L4" i="32"/>
  <c r="F43" i="30"/>
  <c r="F34" i="29"/>
  <c r="G34" i="29" s="1"/>
  <c r="I34" i="29" s="1"/>
  <c r="L5" i="32"/>
  <c r="F43" i="31"/>
  <c r="L4" i="31"/>
  <c r="H4" i="26"/>
  <c r="I31" i="32" s="1"/>
  <c r="I4" i="26"/>
  <c r="J31" i="32" s="1"/>
  <c r="G5" i="26"/>
  <c r="C4" i="28"/>
  <c r="B53" i="28"/>
  <c r="B53" i="27"/>
  <c r="H4" i="27"/>
  <c r="I32" i="32" s="1"/>
  <c r="H4" i="25"/>
  <c r="I30" i="32" s="1"/>
  <c r="B53" i="25"/>
  <c r="H4" i="24"/>
  <c r="I29" i="32" s="1"/>
  <c r="H36" i="24"/>
  <c r="C53" i="24"/>
  <c r="B53" i="24"/>
  <c r="B53" i="23"/>
  <c r="D53" i="22"/>
  <c r="C53" i="22"/>
  <c r="B53" i="22"/>
  <c r="H4" i="23"/>
  <c r="I28" i="32" s="1"/>
  <c r="I4" i="23"/>
  <c r="J28" i="32" s="1"/>
  <c r="I4" i="22"/>
  <c r="J27" i="32" s="1"/>
  <c r="H4" i="22"/>
  <c r="I27" i="32" s="1"/>
  <c r="C47" i="28"/>
  <c r="E38" i="28"/>
  <c r="E37" i="28"/>
  <c r="E36" i="28"/>
  <c r="E35" i="28"/>
  <c r="E34" i="28"/>
  <c r="E30" i="28"/>
  <c r="D30" i="28"/>
  <c r="C10" i="28"/>
  <c r="H5" i="28"/>
  <c r="G5" i="28"/>
  <c r="F5" i="28"/>
  <c r="C47" i="27"/>
  <c r="C10" i="27" s="1"/>
  <c r="E38" i="27"/>
  <c r="E37" i="27"/>
  <c r="E36" i="27"/>
  <c r="E35" i="27"/>
  <c r="E34" i="27"/>
  <c r="E30" i="27"/>
  <c r="D30" i="27"/>
  <c r="G5" i="27"/>
  <c r="F5" i="27"/>
  <c r="C47" i="26"/>
  <c r="E38" i="26"/>
  <c r="E37" i="26"/>
  <c r="E36" i="26"/>
  <c r="E35" i="26"/>
  <c r="E34" i="26"/>
  <c r="E30" i="26"/>
  <c r="D30" i="26"/>
  <c r="C10" i="26"/>
  <c r="H5" i="26"/>
  <c r="F5" i="26"/>
  <c r="C47" i="25"/>
  <c r="E38" i="25"/>
  <c r="E37" i="25"/>
  <c r="E36" i="25"/>
  <c r="E35" i="25"/>
  <c r="E34" i="25"/>
  <c r="E30" i="25"/>
  <c r="D30" i="25"/>
  <c r="C10" i="25"/>
  <c r="G5" i="25"/>
  <c r="F5" i="25"/>
  <c r="C47" i="24"/>
  <c r="E38" i="24"/>
  <c r="E37" i="24"/>
  <c r="E36" i="24"/>
  <c r="E35" i="24"/>
  <c r="E34" i="24"/>
  <c r="E30" i="24"/>
  <c r="D30" i="24"/>
  <c r="C10" i="24"/>
  <c r="H5" i="24"/>
  <c r="G5" i="24"/>
  <c r="F5" i="24"/>
  <c r="C47" i="23"/>
  <c r="C10" i="23" s="1"/>
  <c r="E38" i="23"/>
  <c r="E37" i="23"/>
  <c r="E36" i="23"/>
  <c r="E35" i="23"/>
  <c r="E34" i="23"/>
  <c r="E30" i="23"/>
  <c r="D30" i="23"/>
  <c r="G5" i="23"/>
  <c r="F5" i="23"/>
  <c r="C47" i="22"/>
  <c r="E38" i="22"/>
  <c r="E37" i="22"/>
  <c r="E36" i="22"/>
  <c r="E35" i="22"/>
  <c r="E34" i="22"/>
  <c r="E30" i="22"/>
  <c r="D30" i="22"/>
  <c r="C10" i="22"/>
  <c r="G5" i="22"/>
  <c r="F5" i="22"/>
  <c r="H4" i="21"/>
  <c r="I26" i="32" s="1"/>
  <c r="D53" i="21"/>
  <c r="B53" i="21"/>
  <c r="I4" i="21"/>
  <c r="J26" i="32" s="1"/>
  <c r="B53" i="20"/>
  <c r="C52" i="21"/>
  <c r="C53" i="21" s="1"/>
  <c r="C47" i="21"/>
  <c r="C10" i="21" s="1"/>
  <c r="E38" i="21"/>
  <c r="E37" i="21"/>
  <c r="E36" i="21"/>
  <c r="E35" i="21"/>
  <c r="E34" i="21"/>
  <c r="E30" i="21"/>
  <c r="D30" i="21"/>
  <c r="G5" i="21"/>
  <c r="F5" i="21"/>
  <c r="H4" i="19"/>
  <c r="I24" i="32" s="1"/>
  <c r="H4" i="17"/>
  <c r="I22" i="32" s="1"/>
  <c r="H4" i="15"/>
  <c r="H4" i="14"/>
  <c r="I19" i="32" s="1"/>
  <c r="L8" i="11"/>
  <c r="H4" i="11"/>
  <c r="I16" i="32" s="1"/>
  <c r="I4" i="9"/>
  <c r="J14" i="32" s="1"/>
  <c r="H4" i="7"/>
  <c r="I12" i="32" s="1"/>
  <c r="H4" i="2"/>
  <c r="I7" i="32" s="1"/>
  <c r="I25" i="32"/>
  <c r="H4" i="16"/>
  <c r="I21" i="32" s="1"/>
  <c r="I4" i="15"/>
  <c r="J20" i="32" s="1"/>
  <c r="B53" i="4"/>
  <c r="C53" i="20"/>
  <c r="C52" i="20"/>
  <c r="C47" i="20"/>
  <c r="C10" i="20" s="1"/>
  <c r="E38" i="20"/>
  <c r="E37" i="20"/>
  <c r="E36" i="20"/>
  <c r="E35" i="20"/>
  <c r="E34" i="20"/>
  <c r="E30" i="20"/>
  <c r="D30" i="20"/>
  <c r="G5" i="20"/>
  <c r="F5" i="20"/>
  <c r="C53" i="19"/>
  <c r="B53" i="19"/>
  <c r="C52" i="19"/>
  <c r="C47" i="19"/>
  <c r="C10" i="19" s="1"/>
  <c r="E38" i="19"/>
  <c r="E37" i="19"/>
  <c r="E36" i="19"/>
  <c r="E35" i="19"/>
  <c r="E34" i="19"/>
  <c r="E30" i="19"/>
  <c r="D30" i="19"/>
  <c r="G5" i="19"/>
  <c r="F5" i="19"/>
  <c r="H4" i="18"/>
  <c r="I23" i="32" s="1"/>
  <c r="C53" i="18"/>
  <c r="C52" i="18"/>
  <c r="B52" i="18"/>
  <c r="B53" i="18" s="1"/>
  <c r="C47" i="18"/>
  <c r="C10" i="18" s="1"/>
  <c r="E38" i="18"/>
  <c r="E37" i="18"/>
  <c r="E36" i="18"/>
  <c r="E34" i="18"/>
  <c r="E30" i="18"/>
  <c r="D30" i="18"/>
  <c r="G5" i="18"/>
  <c r="F5" i="18"/>
  <c r="I4" i="17"/>
  <c r="J22" i="32" s="1"/>
  <c r="C53" i="17"/>
  <c r="B53" i="17"/>
  <c r="C52" i="17"/>
  <c r="B52" i="17"/>
  <c r="C47" i="17"/>
  <c r="E39" i="17"/>
  <c r="E38" i="17"/>
  <c r="E37" i="17"/>
  <c r="E36" i="17"/>
  <c r="E35" i="17"/>
  <c r="E34" i="17"/>
  <c r="E30" i="17"/>
  <c r="D30" i="17"/>
  <c r="C10" i="17"/>
  <c r="E10" i="17" s="1"/>
  <c r="G5" i="17"/>
  <c r="F5" i="17"/>
  <c r="C53" i="16"/>
  <c r="B53" i="16"/>
  <c r="I4" i="16"/>
  <c r="J21" i="32" s="1"/>
  <c r="E36" i="16"/>
  <c r="C52" i="16"/>
  <c r="B52" i="16"/>
  <c r="C47" i="16"/>
  <c r="C10" i="16" s="1"/>
  <c r="E39" i="16"/>
  <c r="E38" i="16"/>
  <c r="E37" i="16"/>
  <c r="E35" i="16"/>
  <c r="E34" i="16"/>
  <c r="E30" i="16"/>
  <c r="D30" i="16"/>
  <c r="G5" i="16"/>
  <c r="F5" i="16"/>
  <c r="H5" i="16"/>
  <c r="C53" i="15"/>
  <c r="B53" i="15"/>
  <c r="C53" i="14"/>
  <c r="B53" i="14"/>
  <c r="C52" i="15"/>
  <c r="B52" i="15"/>
  <c r="C47" i="15"/>
  <c r="C10" i="15" s="1"/>
  <c r="E38" i="15"/>
  <c r="E37" i="15"/>
  <c r="E35" i="15"/>
  <c r="E34" i="15"/>
  <c r="E30" i="15"/>
  <c r="D30" i="15"/>
  <c r="G5" i="15"/>
  <c r="F5" i="15"/>
  <c r="I4" i="14"/>
  <c r="J19" i="32" s="1"/>
  <c r="C52" i="14"/>
  <c r="B52" i="14"/>
  <c r="C47" i="14"/>
  <c r="C10" i="14" s="1"/>
  <c r="E38" i="14"/>
  <c r="E37" i="14"/>
  <c r="E35" i="14"/>
  <c r="E34" i="14"/>
  <c r="E30" i="14"/>
  <c r="D30" i="14"/>
  <c r="F5" i="14"/>
  <c r="J4" i="14" s="1"/>
  <c r="K19" i="32" s="1"/>
  <c r="H5" i="14"/>
  <c r="I4" i="13"/>
  <c r="J18" i="32" s="1"/>
  <c r="H4" i="13"/>
  <c r="I18" i="32" s="1"/>
  <c r="B53" i="13"/>
  <c r="C47" i="13"/>
  <c r="C10" i="13" s="1"/>
  <c r="D30" i="13" s="1"/>
  <c r="E38" i="13"/>
  <c r="E37" i="13"/>
  <c r="E35" i="13"/>
  <c r="E34" i="13"/>
  <c r="G5" i="13"/>
  <c r="F5" i="13"/>
  <c r="H4" i="12"/>
  <c r="I17" i="32" s="1"/>
  <c r="I4" i="12"/>
  <c r="J17" i="32" s="1"/>
  <c r="D17" i="33" l="1"/>
  <c r="F47" i="31"/>
  <c r="F10" i="31" s="1"/>
  <c r="F30" i="31" s="1"/>
  <c r="H5" i="19"/>
  <c r="J4" i="19" s="1"/>
  <c r="K24" i="32" s="1"/>
  <c r="H5" i="22"/>
  <c r="J4" i="22" s="1"/>
  <c r="K27" i="32" s="1"/>
  <c r="C17" i="33"/>
  <c r="F47" i="30"/>
  <c r="F10" i="30" s="1"/>
  <c r="J4" i="27"/>
  <c r="K32" i="32" s="1"/>
  <c r="H5" i="13"/>
  <c r="J4" i="13" s="1"/>
  <c r="K18" i="32" s="1"/>
  <c r="H7" i="11"/>
  <c r="H5" i="17"/>
  <c r="H5" i="18"/>
  <c r="J4" i="18" s="1"/>
  <c r="K23" i="32" s="1"/>
  <c r="H8" i="11"/>
  <c r="H5" i="27"/>
  <c r="D33" i="32"/>
  <c r="D34" i="32" s="1"/>
  <c r="D36" i="32" s="1"/>
  <c r="J4" i="28"/>
  <c r="K33" i="32" s="1"/>
  <c r="J4" i="26"/>
  <c r="K31" i="32" s="1"/>
  <c r="H5" i="25"/>
  <c r="J4" i="25" s="1"/>
  <c r="K30" i="32" s="1"/>
  <c r="J4" i="24"/>
  <c r="K29" i="32" s="1"/>
  <c r="H5" i="23"/>
  <c r="J4" i="23" s="1"/>
  <c r="K28" i="32" s="1"/>
  <c r="H5" i="21"/>
  <c r="J4" i="21"/>
  <c r="K26" i="32" s="1"/>
  <c r="H5" i="20"/>
  <c r="J4" i="20" s="1"/>
  <c r="K25" i="32" s="1"/>
  <c r="J4" i="17"/>
  <c r="K22" i="32" s="1"/>
  <c r="J4" i="16"/>
  <c r="K21" i="32" s="1"/>
  <c r="H5" i="15"/>
  <c r="J4" i="15" s="1"/>
  <c r="K20" i="32" s="1"/>
  <c r="I20" i="32"/>
  <c r="K4" i="28"/>
  <c r="F30" i="30" l="1"/>
  <c r="K4" i="24"/>
  <c r="E43" i="24" s="1"/>
  <c r="L4" i="28"/>
  <c r="L33" i="32"/>
  <c r="K4" i="27"/>
  <c r="K4" i="26"/>
  <c r="K4" i="25"/>
  <c r="L30" i="32" s="1"/>
  <c r="K4" i="23"/>
  <c r="L28" i="32" s="1"/>
  <c r="K4" i="22"/>
  <c r="L27" i="32" s="1"/>
  <c r="K4" i="21"/>
  <c r="K4" i="20"/>
  <c r="L25" i="32" s="1"/>
  <c r="K4" i="18"/>
  <c r="L23" i="32" s="1"/>
  <c r="K4" i="17"/>
  <c r="L22" i="32" s="1"/>
  <c r="K4" i="16"/>
  <c r="L21" i="32" s="1"/>
  <c r="K4" i="15"/>
  <c r="L20" i="32" s="1"/>
  <c r="K4" i="14"/>
  <c r="L19" i="32" s="1"/>
  <c r="E43" i="28"/>
  <c r="E43" i="27"/>
  <c r="K4" i="19"/>
  <c r="E43" i="18"/>
  <c r="L4" i="18"/>
  <c r="K4" i="13"/>
  <c r="L18" i="32" s="1"/>
  <c r="L29" i="32" l="1"/>
  <c r="L26" i="32"/>
  <c r="E43" i="21"/>
  <c r="Y17" i="33" s="1"/>
  <c r="E47" i="27"/>
  <c r="E10" i="27" s="1"/>
  <c r="AE17" i="33"/>
  <c r="E47" i="28"/>
  <c r="E10" i="28" s="1"/>
  <c r="AG17" i="33"/>
  <c r="AF17" i="33"/>
  <c r="E47" i="24"/>
  <c r="E10" i="24" s="1"/>
  <c r="AB17" i="33"/>
  <c r="L4" i="24"/>
  <c r="E43" i="14"/>
  <c r="E43" i="15"/>
  <c r="L4" i="14"/>
  <c r="V17" i="33"/>
  <c r="E47" i="18"/>
  <c r="E10" i="18" s="1"/>
  <c r="L4" i="19"/>
  <c r="L24" i="32"/>
  <c r="L4" i="20"/>
  <c r="L4" i="27"/>
  <c r="L32" i="32"/>
  <c r="E43" i="26"/>
  <c r="L31" i="32"/>
  <c r="L4" i="26"/>
  <c r="E43" i="20"/>
  <c r="L4" i="17"/>
  <c r="L4" i="15"/>
  <c r="E43" i="13"/>
  <c r="L4" i="13"/>
  <c r="E43" i="25"/>
  <c r="L4" i="25"/>
  <c r="L4" i="23"/>
  <c r="E43" i="23"/>
  <c r="E43" i="22"/>
  <c r="L4" i="22"/>
  <c r="E47" i="21"/>
  <c r="E10" i="21" s="1"/>
  <c r="L4" i="21"/>
  <c r="E43" i="17"/>
  <c r="E43" i="16"/>
  <c r="L4" i="16"/>
  <c r="E43" i="19"/>
  <c r="E47" i="19" s="1"/>
  <c r="E10" i="19" s="1"/>
  <c r="B53" i="12"/>
  <c r="C47" i="12"/>
  <c r="C10" i="12" s="1"/>
  <c r="C30" i="12" s="1"/>
  <c r="F38" i="12"/>
  <c r="F37" i="12"/>
  <c r="F35" i="12"/>
  <c r="F34" i="12"/>
  <c r="H5" i="12"/>
  <c r="G5" i="12"/>
  <c r="F5" i="12"/>
  <c r="B53" i="11"/>
  <c r="B52" i="11"/>
  <c r="C47" i="11"/>
  <c r="C10" i="11" s="1"/>
  <c r="C30" i="11" s="1"/>
  <c r="F38" i="11"/>
  <c r="F37" i="11"/>
  <c r="F35" i="11"/>
  <c r="F34" i="11"/>
  <c r="G5" i="11"/>
  <c r="F5" i="11"/>
  <c r="H5" i="11"/>
  <c r="B53" i="10"/>
  <c r="H4" i="10"/>
  <c r="I15" i="32" s="1"/>
  <c r="C47" i="10"/>
  <c r="C10" i="10" s="1"/>
  <c r="C30" i="10" s="1"/>
  <c r="F38" i="10"/>
  <c r="F37" i="10"/>
  <c r="F36" i="10"/>
  <c r="F35" i="10"/>
  <c r="F34" i="10"/>
  <c r="H5" i="10"/>
  <c r="G5" i="10"/>
  <c r="F5" i="10"/>
  <c r="H4" i="9"/>
  <c r="C47" i="9"/>
  <c r="C10" i="9" s="1"/>
  <c r="C30" i="9" s="1"/>
  <c r="F38" i="9"/>
  <c r="F37" i="9"/>
  <c r="F36" i="9"/>
  <c r="F35" i="9"/>
  <c r="F34" i="9"/>
  <c r="G5" i="9"/>
  <c r="F5" i="9"/>
  <c r="B54" i="8"/>
  <c r="H4" i="8"/>
  <c r="I13" i="32" s="1"/>
  <c r="H5" i="8"/>
  <c r="C47" i="8"/>
  <c r="C10" i="8" s="1"/>
  <c r="C30" i="8" s="1"/>
  <c r="F38" i="8"/>
  <c r="F37" i="8"/>
  <c r="F36" i="8"/>
  <c r="F35" i="8"/>
  <c r="F34" i="8"/>
  <c r="G5" i="8"/>
  <c r="F5" i="8"/>
  <c r="C54" i="7"/>
  <c r="B54" i="7"/>
  <c r="F5" i="7"/>
  <c r="G5" i="7"/>
  <c r="H5" i="7"/>
  <c r="F34" i="7"/>
  <c r="F35" i="7"/>
  <c r="F36" i="7"/>
  <c r="F37" i="7"/>
  <c r="F38" i="7"/>
  <c r="C47" i="7"/>
  <c r="C10" i="7" s="1"/>
  <c r="C30" i="7" s="1"/>
  <c r="H4" i="6"/>
  <c r="I11" i="32" s="1"/>
  <c r="B54" i="6"/>
  <c r="C47" i="6"/>
  <c r="C10" i="6" s="1"/>
  <c r="C30" i="6" s="1"/>
  <c r="F38" i="6"/>
  <c r="F37" i="6"/>
  <c r="F36" i="6"/>
  <c r="F35" i="6"/>
  <c r="F34" i="6"/>
  <c r="G5" i="6"/>
  <c r="F5" i="6"/>
  <c r="H5" i="6"/>
  <c r="H4" i="5"/>
  <c r="C10" i="1"/>
  <c r="C10" i="2"/>
  <c r="C30" i="2" s="1"/>
  <c r="C10" i="5"/>
  <c r="C30" i="5" s="1"/>
  <c r="I4" i="5"/>
  <c r="J10" i="32" s="1"/>
  <c r="J34" i="32" s="1"/>
  <c r="J36" i="32" s="1"/>
  <c r="B54" i="5"/>
  <c r="C47" i="5"/>
  <c r="F38" i="5"/>
  <c r="F37" i="5"/>
  <c r="F36" i="5"/>
  <c r="F35" i="5"/>
  <c r="F34" i="5"/>
  <c r="G5" i="5"/>
  <c r="F5" i="5"/>
  <c r="B54" i="4"/>
  <c r="H4" i="4"/>
  <c r="I9" i="32" s="1"/>
  <c r="C47" i="4"/>
  <c r="C10" i="4" s="1"/>
  <c r="C30" i="4" s="1"/>
  <c r="F38" i="4"/>
  <c r="F37" i="4"/>
  <c r="F36" i="4"/>
  <c r="F35" i="4"/>
  <c r="F34" i="4"/>
  <c r="H5" i="4"/>
  <c r="G5" i="4"/>
  <c r="F5" i="4"/>
  <c r="H4" i="3"/>
  <c r="I8" i="32" s="1"/>
  <c r="C47" i="3"/>
  <c r="C10" i="3" s="1"/>
  <c r="C30" i="3" s="1"/>
  <c r="G5" i="3"/>
  <c r="F5" i="3"/>
  <c r="B54" i="2"/>
  <c r="F34" i="2"/>
  <c r="F35" i="2"/>
  <c r="F36" i="2"/>
  <c r="F37" i="2"/>
  <c r="F38" i="2"/>
  <c r="C47" i="2"/>
  <c r="G5" i="2"/>
  <c r="F5" i="2"/>
  <c r="H5" i="2"/>
  <c r="H4" i="1"/>
  <c r="I6" i="32" s="1"/>
  <c r="B54" i="1"/>
  <c r="F35" i="1"/>
  <c r="F36" i="1"/>
  <c r="F37" i="1"/>
  <c r="F38" i="1"/>
  <c r="F34" i="1"/>
  <c r="C47" i="1"/>
  <c r="H5" i="1"/>
  <c r="G5" i="1"/>
  <c r="F5" i="1"/>
  <c r="E47" i="17" l="1"/>
  <c r="U17" i="33"/>
  <c r="C8" i="34"/>
  <c r="C29" i="34" s="1"/>
  <c r="E47" i="25"/>
  <c r="E10" i="25" s="1"/>
  <c r="AC17" i="33"/>
  <c r="E47" i="13"/>
  <c r="E10" i="13" s="1"/>
  <c r="Q17" i="33"/>
  <c r="E47" i="14"/>
  <c r="E10" i="14" s="1"/>
  <c r="R17" i="33"/>
  <c r="E47" i="15"/>
  <c r="E10" i="15" s="1"/>
  <c r="S17" i="33"/>
  <c r="H5" i="5"/>
  <c r="I10" i="32"/>
  <c r="I34" i="32" s="1"/>
  <c r="I36" i="32" s="1"/>
  <c r="C30" i="1"/>
  <c r="J4" i="9"/>
  <c r="K14" i="32" s="1"/>
  <c r="H5" i="9"/>
  <c r="I14" i="32"/>
  <c r="E47" i="22"/>
  <c r="E10" i="22" s="1"/>
  <c r="Z17" i="33"/>
  <c r="E47" i="16"/>
  <c r="E10" i="16" s="1"/>
  <c r="T17" i="33"/>
  <c r="E47" i="26"/>
  <c r="E10" i="26" s="1"/>
  <c r="AD17" i="33"/>
  <c r="H5" i="3"/>
  <c r="E47" i="23"/>
  <c r="E10" i="23" s="1"/>
  <c r="AA17" i="33"/>
  <c r="E47" i="20"/>
  <c r="E10" i="20" s="1"/>
  <c r="X17" i="33"/>
  <c r="J4" i="12"/>
  <c r="J4" i="11"/>
  <c r="J4" i="10"/>
  <c r="J4" i="8"/>
  <c r="J4" i="7"/>
  <c r="J4" i="6"/>
  <c r="J4" i="5"/>
  <c r="J4" i="4"/>
  <c r="J4" i="3"/>
  <c r="J4" i="2"/>
  <c r="J4" i="1"/>
  <c r="K4" i="4" l="1"/>
  <c r="K9" i="32"/>
  <c r="E30" i="13"/>
  <c r="L8" i="34"/>
  <c r="K4" i="1"/>
  <c r="K6" i="32"/>
  <c r="K4" i="6"/>
  <c r="L11" i="32" s="1"/>
  <c r="K11" i="32"/>
  <c r="K4" i="7"/>
  <c r="L12" i="32" s="1"/>
  <c r="K12" i="32"/>
  <c r="K4" i="2"/>
  <c r="K7" i="32"/>
  <c r="K4" i="9"/>
  <c r="K4" i="11"/>
  <c r="L4" i="11" s="1"/>
  <c r="K16" i="32"/>
  <c r="K4" i="12"/>
  <c r="K17" i="32"/>
  <c r="K4" i="5"/>
  <c r="L10" i="32" s="1"/>
  <c r="K10" i="32"/>
  <c r="K4" i="8"/>
  <c r="K13" i="32"/>
  <c r="K4" i="3"/>
  <c r="L8" i="32" s="1"/>
  <c r="K8" i="32"/>
  <c r="K15" i="32"/>
  <c r="K4" i="10"/>
  <c r="F43" i="5"/>
  <c r="L4" i="5"/>
  <c r="F43" i="3"/>
  <c r="F43" i="7"/>
  <c r="L4" i="7"/>
  <c r="F43" i="9"/>
  <c r="G17" i="33" l="1"/>
  <c r="F47" i="3"/>
  <c r="F10" i="3" s="1"/>
  <c r="F30" i="3" s="1"/>
  <c r="F47" i="5"/>
  <c r="F10" i="5" s="1"/>
  <c r="F30" i="5" s="1"/>
  <c r="I17" i="33"/>
  <c r="L4" i="9"/>
  <c r="L14" i="32"/>
  <c r="F47" i="1"/>
  <c r="F10" i="1" s="1"/>
  <c r="L6" i="32"/>
  <c r="L4" i="1"/>
  <c r="F43" i="1"/>
  <c r="E17" i="33" s="1"/>
  <c r="F43" i="6"/>
  <c r="L16" i="32"/>
  <c r="K7" i="11"/>
  <c r="L7" i="11" s="1"/>
  <c r="K34" i="32"/>
  <c r="L4" i="6"/>
  <c r="F43" i="8"/>
  <c r="L13" i="32"/>
  <c r="L4" i="8"/>
  <c r="F43" i="11"/>
  <c r="F43" i="2"/>
  <c r="L7" i="32"/>
  <c r="L4" i="2"/>
  <c r="F47" i="7"/>
  <c r="F10" i="7" s="1"/>
  <c r="F30" i="7" s="1"/>
  <c r="K17" i="33"/>
  <c r="F47" i="9"/>
  <c r="F10" i="9" s="1"/>
  <c r="F30" i="9" s="1"/>
  <c r="M17" i="33"/>
  <c r="L15" i="32"/>
  <c r="L4" i="10"/>
  <c r="L4" i="3"/>
  <c r="F43" i="10"/>
  <c r="F43" i="12"/>
  <c r="L17" i="32"/>
  <c r="L4" i="12"/>
  <c r="F43" i="4"/>
  <c r="L9" i="32"/>
  <c r="L4" i="4"/>
  <c r="F47" i="8" l="1"/>
  <c r="F10" i="8" s="1"/>
  <c r="F30" i="8" s="1"/>
  <c r="L17" i="33"/>
  <c r="L34" i="32"/>
  <c r="F47" i="12"/>
  <c r="F10" i="12" s="1"/>
  <c r="F30" i="12" s="1"/>
  <c r="P17" i="33"/>
  <c r="F30" i="1"/>
  <c r="D8" i="34"/>
  <c r="F47" i="10"/>
  <c r="F10" i="10" s="1"/>
  <c r="F30" i="10" s="1"/>
  <c r="N17" i="33"/>
  <c r="K36" i="32"/>
  <c r="C6" i="34"/>
  <c r="C30" i="34" s="1"/>
  <c r="F47" i="6"/>
  <c r="F10" i="6" s="1"/>
  <c r="F30" i="6" s="1"/>
  <c r="J17" i="33"/>
  <c r="F47" i="2"/>
  <c r="F10" i="2" s="1"/>
  <c r="F30" i="2" s="1"/>
  <c r="F17" i="33"/>
  <c r="AH17" i="33" s="1"/>
  <c r="F47" i="11"/>
  <c r="F10" i="11" s="1"/>
  <c r="F30" i="11" s="1"/>
  <c r="O17" i="33"/>
  <c r="H17" i="33"/>
  <c r="F47" i="4"/>
  <c r="F10" i="4" s="1"/>
  <c r="F30" i="4" s="1"/>
  <c r="D29" i="34" l="1"/>
  <c r="E8" i="34"/>
  <c r="L36" i="32"/>
  <c r="D6" i="34"/>
  <c r="M8" i="34"/>
  <c r="C33" i="34" l="1"/>
  <c r="D30" i="34"/>
  <c r="E12" i="34"/>
  <c r="E15" i="34"/>
  <c r="C34" i="34"/>
  <c r="E25" i="34"/>
  <c r="E14" i="34"/>
  <c r="E23" i="34"/>
  <c r="E18" i="34"/>
  <c r="E16" i="34"/>
  <c r="E19" i="34"/>
  <c r="E24" i="34"/>
  <c r="E10" i="34"/>
  <c r="E22" i="34"/>
  <c r="E17" i="34"/>
  <c r="E9" i="34"/>
  <c r="E20" i="34"/>
  <c r="E27" i="34"/>
  <c r="E26" i="34"/>
  <c r="E13" i="34"/>
  <c r="E11" i="34"/>
  <c r="E21" i="34"/>
  <c r="E29" i="34"/>
  <c r="E28" i="34"/>
</calcChain>
</file>

<file path=xl/sharedStrings.xml><?xml version="1.0" encoding="utf-8"?>
<sst xmlns="http://schemas.openxmlformats.org/spreadsheetml/2006/main" count="1711" uniqueCount="143">
  <si>
    <t>VENTAS</t>
  </si>
  <si>
    <t>TRANSFERENCIAS ZELLE</t>
  </si>
  <si>
    <t>EURO</t>
  </si>
  <si>
    <t>USD</t>
  </si>
  <si>
    <t>EFECTIVO</t>
  </si>
  <si>
    <t>TOTAL</t>
  </si>
  <si>
    <t>TOTAL USD</t>
  </si>
  <si>
    <t xml:space="preserve">Ventas   </t>
  </si>
  <si>
    <t>Ventas Brutas</t>
  </si>
  <si>
    <t>Gastos</t>
  </si>
  <si>
    <t>CUP</t>
  </si>
  <si>
    <t>Salario</t>
  </si>
  <si>
    <t>Renta</t>
  </si>
  <si>
    <t>Compras</t>
  </si>
  <si>
    <t>Perfumes Juank</t>
  </si>
  <si>
    <t>H&amp;M</t>
  </si>
  <si>
    <t>Otros</t>
  </si>
  <si>
    <t>Electricidad</t>
  </si>
  <si>
    <t xml:space="preserve">Gas </t>
  </si>
  <si>
    <t>Pantry</t>
  </si>
  <si>
    <t>Comunicaciones</t>
  </si>
  <si>
    <t>Publicidad</t>
  </si>
  <si>
    <t>Pago de colaboración modelos</t>
  </si>
  <si>
    <t>Comunity manager</t>
  </si>
  <si>
    <t>Creador de contenido</t>
  </si>
  <si>
    <t>Insumos de Limpieza</t>
  </si>
  <si>
    <t>Mantenimiento</t>
  </si>
  <si>
    <t>Insumos para la tienda</t>
  </si>
  <si>
    <t>Transporte</t>
  </si>
  <si>
    <t>Servicios contables</t>
  </si>
  <si>
    <t>Otros servicios comprados</t>
  </si>
  <si>
    <t>Total de Gastos</t>
  </si>
  <si>
    <t>Jacqueline</t>
  </si>
  <si>
    <t>Yeni</t>
  </si>
  <si>
    <t>Daniela</t>
  </si>
  <si>
    <t>Lisandra</t>
  </si>
  <si>
    <t>Aileen</t>
  </si>
  <si>
    <t>Laura</t>
  </si>
  <si>
    <t>Vanessa</t>
  </si>
  <si>
    <t>Magaly</t>
  </si>
  <si>
    <t>FONDO</t>
  </si>
  <si>
    <t>INICIAL</t>
  </si>
  <si>
    <t>FINAL</t>
  </si>
  <si>
    <t xml:space="preserve">TRANSFERENCIAS </t>
  </si>
  <si>
    <t>Total</t>
  </si>
  <si>
    <t>OBSERVACIONES</t>
  </si>
  <si>
    <t>Inicial</t>
  </si>
  <si>
    <t>final</t>
  </si>
  <si>
    <t>Final</t>
  </si>
  <si>
    <t>Las vendedoras declaran que tomaron 1 USD de la venta del 7 abril pero no explican por qué. Quizás fue el dólar que dejaron de cobrar el día 4. Entonces como se cuadra esto? Se arregla  lo del día 4?</t>
  </si>
  <si>
    <t xml:space="preserve">El fondo d este día está mal calculado pues el día 8 cuyo fondo inicial en MN era de 11110 hubo que restarle los 6000 de salario más los 75 pesos de la factura del gas. Por tanto el Fondo inicial este día 9 es 5035 MN y ellas reflejaron 5040.                                                                                                                                                                                                                                                                                                                                         </t>
  </si>
  <si>
    <t xml:space="preserve"> INICIAL</t>
  </si>
  <si>
    <t>Se sigue arrastrando el error en el fondo en MN</t>
  </si>
  <si>
    <t>Yeni declara que para cobrar su salario completo cogió 1000 del fondo y los otros mil CUP los tomó del efectivo del día 11.</t>
  </si>
  <si>
    <t>Se sigue arrastrando el error en el fondo en MN. El fondo final del día debe ser realmente 35 CUP.</t>
  </si>
  <si>
    <t>Se sigue arrastrando el error en el fondo en MN. El fondo final del día anterior debe ser realmente 35 CUP. En el día hoy se depositan 3450 MN para incrementar el Fondo a 3485 en MN y no 3490 como se expone.</t>
  </si>
  <si>
    <t>Al parecer no se liquida en el dia pq el día 14 se refleja como gasto, el cobro de 100 USD perteneciente al salario de Dany que se cobró de la venta del día 13.</t>
  </si>
  <si>
    <t>Se sigue arrastrando el error en el fondo en MN. El fondo final del día anterior debe ser realmente 3055 CUP. Como no había suficiente fondo para el cobro del salario de las dos vendedoras, al parecer  lo cobraron de la MN de la venta del día, aunque no lo expresan en la planilla.</t>
  </si>
  <si>
    <t>Servicios contables (Mensajería)</t>
  </si>
  <si>
    <t>El salario Yeni lo cobró del fondo , por tanto el fondo final es el que se expresa en la Tabla.</t>
  </si>
  <si>
    <t>Insumos para la tienda (BOLSAS)</t>
  </si>
  <si>
    <t>El 2% de las ventas es 5 pero cobró 4 USD solamente.</t>
  </si>
  <si>
    <t>Ninguna de las vendedoras (Aileén y Yaquelín) cobraron su salario pq no alcanzaba el dinero del fondo.</t>
  </si>
  <si>
    <t>En el día de hoy se incrementó el dinero del fondo con 20000 CUP                                                                                      Yaquelín cobro el salario de hoy, el de ayer y al parecer de otro día que dejó de cobrar.</t>
  </si>
  <si>
    <t>La vendedora cobro del fondo 1000 y al parecer  los otros 1000 pesos los cobró de la venta, no se sabe  porque pues había fondo para haberlo cobrado de este.</t>
  </si>
  <si>
    <t xml:space="preserve">Como no había suficiente fondo en MN suponemos que su salario lo hayan cobrado del efectivo de la venta de este día pero al sumar los 4000 pesos al efectivo,  el ingreso total sobrepasa la venta  en 1,92 USD. </t>
  </si>
  <si>
    <r>
      <t xml:space="preserve">Al parecer este día no se liquidó y el dinero quedó en caja, por lo que Yeni, que trabajó el día 12 cobro mil CUP de su salario del efectivo del día 11. </t>
    </r>
    <r>
      <rPr>
        <b/>
        <sz val="11"/>
        <color rgb="FFFF0000"/>
        <rFont val="Calibri"/>
        <family val="2"/>
        <scheme val="minor"/>
      </rPr>
      <t>Coincidentemente al restarle los 1000 pesos del efectivo se cuadra la venta del día 11.</t>
    </r>
  </si>
  <si>
    <t>La vendedora Aileen expresa que cobró su salario (2000)  en USD o sea 3.82 y 430 en MN que cogió del fondo. Evidentemente tomó 430 MN  de más. Y hay un faltante de 14.20 USD para cuadrar el día.</t>
  </si>
  <si>
    <t>EXCEDENTE</t>
  </si>
  <si>
    <t>Del fondo se cobra 1000 CUP de la Mensajería ,900 CUP de la compra de bolsas, los 51 CUP restantes se toman de la venta del día 21  y los 940 CUP  del cobro de la luz. Al parecer el salario lo cobraron de los USD de la venta del día.</t>
  </si>
  <si>
    <r>
      <t xml:space="preserve">El 2 % del día de hoy es 4 USD y al parecer cobró 3 USD. </t>
    </r>
    <r>
      <rPr>
        <b/>
        <sz val="11"/>
        <color rgb="FFFF0000"/>
        <rFont val="Calibri"/>
        <family val="2"/>
        <scheme val="minor"/>
      </rPr>
      <t>O sea dejó de cobrar 1 dólar</t>
    </r>
    <r>
      <rPr>
        <sz val="11"/>
        <color theme="1"/>
        <rFont val="Calibri"/>
        <family val="2"/>
        <scheme val="minor"/>
      </rPr>
      <t>.</t>
    </r>
  </si>
  <si>
    <t>DIFERENCIA</t>
  </si>
  <si>
    <t>Fondo inicial es 9940 MN, 478 USD y 40 EUROS, este mismo fondo se mantiene el día 17, lo cual significa que el salario Aileén lo cobró del efectivo del día, además refleja que 2% es 5,20, lo cual hace pensar que cobró 5 USD en lugar de 6.sI considero que cobró los 6 da una diferencia de 1,19  que puede ser una propina. Con estas consideraciones se cuadra el día.</t>
  </si>
  <si>
    <t xml:space="preserve">    </t>
  </si>
  <si>
    <t>Fondo inicial es 9940 MN, 478 USD y 40 EUROS, este mismo fondo se mantiene el día 20, lo cual significa que el salario Yaquelín y Aileén  lo cobraron del efectivo del día.  Con estas consideraciones se cuadra el día.</t>
  </si>
  <si>
    <t>Al parecer  los 3 USD corespondiente al 2 % de la venta se los pagaron directamente por tanto los 3 USD los incorporaron al fondo.</t>
  </si>
  <si>
    <t>.</t>
  </si>
  <si>
    <t>El día cuadra perfecto. El salario lo tomó de la venta del díaaunque no lo declaró.</t>
  </si>
  <si>
    <t>Todo OK</t>
  </si>
  <si>
    <t>Este día el fondo inicial en USD es 478 sin explicación alguna faltan 3 USD. El salario de hoy lo cobraron del fondo y asumo que el dólar correspondiente al 2% lo hayan tomado tbién del fondo.</t>
  </si>
  <si>
    <t>inicial</t>
  </si>
  <si>
    <t>456-2 Leo</t>
  </si>
  <si>
    <t>Otros servicios comprados (Rhandy)</t>
  </si>
  <si>
    <t xml:space="preserve">Aileén se ganó en el día 5198 (2000 de salario y 3198 correspondiente al 2%). Declara haber cobrado en MN 2300 del fondo (se queda sin fondo) y 700 de la venta, a Juanka por un perfume se le paga en MN 7995 que tiene que haber sido de la venta( aunque no lo declara) y los 2000 pesos de su salario debe haberlo cobrado de la venta del día pq no quedaba fondo. Por tanto Aileén cobró en total 5000, dejó de cobrar 198 pesos. </t>
  </si>
  <si>
    <t>ok</t>
  </si>
  <si>
    <t xml:space="preserve"> </t>
  </si>
  <si>
    <t>OK</t>
  </si>
  <si>
    <t>Hay un desbalance de USD en el fondo sin explicación, el día anterior quedaron de fondo 477 USD.</t>
  </si>
  <si>
    <t>Insumos para la tienda (Bolsas del día 22)</t>
  </si>
  <si>
    <t>En la planilla se refleja que el fondo inicial es 7440 por error, realmente es como se refleja en la Tabla. Con estas consideraciones se cuadra el día. Pero el día 22 informan que 51 pesos de la bolsas compradas ese día se  cogen de la venta de este día.</t>
  </si>
  <si>
    <t>Fondo inicial es 9940 MN, 478 USD y 40 EUROS, este mismo fondo se mantiene el día 19, lo cual significa que el salario Yaquelín lo cobró del efectivo del día.   Con estas consideraciones se cuadra el día.</t>
  </si>
  <si>
    <t xml:space="preserve">Fondo inicial es 9940 MN, 478 USD y 40 EUROS, este mismo fondo se mantiene al final del día 17, lo cual significa que el salario Aileén lo cobró del efectivo del día,  Con estas consideraciones se cuadra el día con un sobrante de 2.62 USD. Este día  reflejan el salario de Laura, el cual fue de 20 USD divididos en 10 USD y los otros 10 en MN que al cambio son 5250. Asumí que este gasto ya se tuvo en cuenta en lo que se debía liquidar pq de lo contrario se descuadra el día. </t>
  </si>
  <si>
    <t>Dia</t>
  </si>
  <si>
    <t>Turno</t>
  </si>
  <si>
    <t>TRANSFERENCIAS CUP</t>
  </si>
  <si>
    <t>Promedio diario</t>
  </si>
  <si>
    <t>Dia1</t>
  </si>
  <si>
    <t>Día 2</t>
  </si>
  <si>
    <t>Dia3</t>
  </si>
  <si>
    <t>Dia4</t>
  </si>
  <si>
    <t>Dia5</t>
  </si>
  <si>
    <t>Dia6</t>
  </si>
  <si>
    <t>Dia7</t>
  </si>
  <si>
    <t>Dia8</t>
  </si>
  <si>
    <t>Dia9</t>
  </si>
  <si>
    <t>Dia10</t>
  </si>
  <si>
    <t>Dia11</t>
  </si>
  <si>
    <t>Dia12</t>
  </si>
  <si>
    <t>Dia13</t>
  </si>
  <si>
    <t>Dia14</t>
  </si>
  <si>
    <t>Dia15</t>
  </si>
  <si>
    <t>Dia16</t>
  </si>
  <si>
    <t>Dia17</t>
  </si>
  <si>
    <t>Dia18</t>
  </si>
  <si>
    <t>Dia19</t>
  </si>
  <si>
    <t>Dia20</t>
  </si>
  <si>
    <t>Dia21</t>
  </si>
  <si>
    <t>Dia22</t>
  </si>
  <si>
    <t>Dia23</t>
  </si>
  <si>
    <t>Dia24</t>
  </si>
  <si>
    <t>Dia25</t>
  </si>
  <si>
    <t>Dia26</t>
  </si>
  <si>
    <t>Dia27</t>
  </si>
  <si>
    <t>Dia28</t>
  </si>
  <si>
    <t>Dia29</t>
  </si>
  <si>
    <t>Dia30</t>
  </si>
  <si>
    <t>Dia31</t>
  </si>
  <si>
    <t>TOTAL MES</t>
  </si>
  <si>
    <t xml:space="preserve">Ventas </t>
  </si>
  <si>
    <t>% del total de gastos</t>
  </si>
  <si>
    <t>Impuestos pagados</t>
  </si>
  <si>
    <t>Utilidad</t>
  </si>
  <si>
    <t xml:space="preserve">Costo de  la mercancía </t>
  </si>
  <si>
    <t>Total de gasto por peso de Ingreso</t>
  </si>
  <si>
    <t>MES: ABRIL</t>
  </si>
  <si>
    <t>Mensajería</t>
  </si>
  <si>
    <t>Impuesto sobre ventas</t>
  </si>
  <si>
    <t>Contrib. Esp. Trabajador seg social, retenciones</t>
  </si>
  <si>
    <t>Contribución a la seguridad social</t>
  </si>
  <si>
    <t>Impuestos sobre ingresos personales- aporte mensual</t>
  </si>
  <si>
    <t>Impuestos sobre ingresos personales- retención TCP</t>
  </si>
  <si>
    <t>Impuesto por utilización de fuerza de trabajo (PN)</t>
  </si>
  <si>
    <r>
      <t xml:space="preserve">El 2 % que es igual a 2.1 USD por exceso serían 3 dolares, pero Aileen lo asume como dos.  Declara que liquida 103 USD por lo que no coincide la venta del día con lo liquidado. Sin embargo esos 2 USD se  los sumó al fondo de USD. </t>
    </r>
    <r>
      <rPr>
        <b/>
        <sz val="11"/>
        <color rgb="FFFF0000"/>
        <rFont val="Calibri"/>
        <family val="2"/>
        <scheme val="minor"/>
      </rPr>
      <t>Quedó pendiente de cobrar 1 USD.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</si>
</sst>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0.0"/>
    <numFmt numFmtId="166" formatCode="#,##0.0"/>
    <numFmt numFmtId="167" formatCode="0.0%"/>
  </numFmts>
  <fonts count="10" x14ac:knownFonts="1">
    <font>
      <sz val="11"/>
      <color theme="1"/>
      <name val="Calibri"/>
      <family val="2"/>
      <scheme val="minor"/>
    </font>
    <font>
      <b/>
      <sz val="11"/>
      <color theme="1"/>
      <name val="Calibri"/>
      <family val="2"/>
      <scheme val="minor"/>
    </font>
    <font>
      <sz val="12"/>
      <color theme="1"/>
      <name val="Calibri"/>
      <family val="2"/>
      <scheme val="minor"/>
    </font>
    <font>
      <b/>
      <sz val="11"/>
      <name val="Calibri"/>
      <family val="2"/>
      <scheme val="minor"/>
    </font>
    <font>
      <sz val="16"/>
      <color theme="1"/>
      <name val="Calibri"/>
      <family val="2"/>
      <scheme val="minor"/>
    </font>
    <font>
      <sz val="11"/>
      <name val="Calibri"/>
      <family val="2"/>
      <scheme val="minor"/>
    </font>
    <font>
      <b/>
      <sz val="11"/>
      <color rgb="FFFF0000"/>
      <name val="Calibri"/>
      <family val="2"/>
      <scheme val="minor"/>
    </font>
    <font>
      <sz val="11"/>
      <color rgb="FFFF0000"/>
      <name val="Calibri"/>
      <family val="2"/>
      <scheme val="minor"/>
    </font>
    <font>
      <sz val="11"/>
      <color theme="1"/>
      <name val="Calibri"/>
      <family val="2"/>
      <scheme val="minor"/>
    </font>
    <font>
      <b/>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00"/>
      </patternFill>
    </fill>
  </fills>
  <borders count="48">
    <border>
      <left/>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2">
    <xf numFmtId="0" fontId="0" fillId="0" borderId="0"/>
    <xf numFmtId="9" fontId="8" fillId="0" borderId="0" applyFont="0" applyFill="0" applyBorder="0" applyAlignment="0" applyProtection="0"/>
  </cellStyleXfs>
  <cellXfs count="183">
    <xf numFmtId="0" fontId="0" fillId="0" borderId="0" xfId="0"/>
    <xf numFmtId="0" fontId="1" fillId="2" borderId="1"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1" fillId="2" borderId="5" xfId="0" applyFont="1" applyFill="1" applyBorder="1" applyAlignment="1">
      <alignment horizontal="center" vertical="center"/>
    </xf>
    <xf numFmtId="0" fontId="0" fillId="0" borderId="6" xfId="0" applyBorder="1"/>
    <xf numFmtId="0" fontId="0" fillId="0" borderId="7" xfId="0" applyBorder="1"/>
    <xf numFmtId="2" fontId="0" fillId="0" borderId="7" xfId="0" applyNumberFormat="1" applyBorder="1"/>
    <xf numFmtId="0" fontId="1" fillId="2" borderId="8" xfId="0" applyFont="1" applyFill="1" applyBorder="1" applyAlignment="1">
      <alignment horizontal="center" vertical="center"/>
    </xf>
    <xf numFmtId="0" fontId="0" fillId="0" borderId="9" xfId="0" applyBorder="1"/>
    <xf numFmtId="0" fontId="0" fillId="0" borderId="10" xfId="0" applyBorder="1"/>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10" xfId="0" applyFont="1" applyBorder="1"/>
    <xf numFmtId="0" fontId="1" fillId="2" borderId="13" xfId="0" applyFont="1" applyFill="1" applyBorder="1"/>
    <xf numFmtId="0" fontId="1" fillId="2" borderId="10" xfId="0" applyFont="1" applyFill="1" applyBorder="1"/>
    <xf numFmtId="2" fontId="0" fillId="0" borderId="10" xfId="0" applyNumberFormat="1" applyBorder="1"/>
    <xf numFmtId="2" fontId="1" fillId="0" borderId="10" xfId="0" applyNumberFormat="1" applyFont="1" applyBorder="1"/>
    <xf numFmtId="164" fontId="0" fillId="0" borderId="7" xfId="0" applyNumberFormat="1" applyBorder="1"/>
    <xf numFmtId="164" fontId="0" fillId="0" borderId="10" xfId="0" applyNumberFormat="1" applyBorder="1"/>
    <xf numFmtId="9" fontId="0" fillId="0" borderId="10" xfId="0" applyNumberFormat="1" applyBorder="1"/>
    <xf numFmtId="0" fontId="1" fillId="2" borderId="15" xfId="0" applyFont="1" applyFill="1" applyBorder="1"/>
    <xf numFmtId="0" fontId="1" fillId="2" borderId="16" xfId="0" applyFont="1" applyFill="1" applyBorder="1"/>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0" borderId="0" xfId="0" applyFont="1" applyAlignment="1">
      <alignment horizontal="center" vertical="center"/>
    </xf>
    <xf numFmtId="164" fontId="1" fillId="0" borderId="10" xfId="0" applyNumberFormat="1" applyFont="1" applyBorder="1"/>
    <xf numFmtId="0" fontId="1" fillId="0" borderId="0" xfId="0" applyFont="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13" xfId="0" applyBorder="1" applyAlignment="1">
      <alignment horizontal="righ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164" fontId="0" fillId="0" borderId="10" xfId="0" applyNumberFormat="1" applyBorder="1" applyAlignment="1">
      <alignment horizontal="center"/>
    </xf>
    <xf numFmtId="2" fontId="0" fillId="0" borderId="10" xfId="0" applyNumberFormat="1" applyBorder="1" applyAlignment="1">
      <alignment horizontal="center"/>
    </xf>
    <xf numFmtId="0" fontId="0" fillId="0" borderId="10" xfId="0" applyBorder="1" applyAlignment="1">
      <alignment horizontal="center"/>
    </xf>
    <xf numFmtId="0" fontId="2" fillId="0" borderId="0" xfId="0" applyFont="1" applyAlignment="1">
      <alignment horizontal="right"/>
    </xf>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0" fontId="3" fillId="3" borderId="27" xfId="0" applyFont="1" applyFill="1" applyBorder="1" applyAlignment="1">
      <alignment horizontal="center"/>
    </xf>
    <xf numFmtId="0" fontId="0" fillId="0" borderId="0" xfId="0" applyAlignment="1">
      <alignment horizontal="right"/>
    </xf>
    <xf numFmtId="2" fontId="0" fillId="0" borderId="0" xfId="0" applyNumberFormat="1"/>
    <xf numFmtId="0" fontId="0" fillId="0" borderId="43" xfId="0" applyBorder="1" applyAlignment="1">
      <alignment horizontal="center"/>
    </xf>
    <xf numFmtId="0" fontId="1" fillId="2" borderId="20"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 xfId="0" applyFont="1" applyFill="1" applyBorder="1"/>
    <xf numFmtId="0" fontId="1" fillId="2" borderId="43" xfId="0" applyFont="1" applyFill="1" applyBorder="1" applyAlignment="1">
      <alignment horizontal="center" vertical="center"/>
    </xf>
    <xf numFmtId="0" fontId="1" fillId="2" borderId="44" xfId="0" applyFont="1" applyFill="1" applyBorder="1" applyAlignment="1">
      <alignment horizontal="center" vertical="center"/>
    </xf>
    <xf numFmtId="0" fontId="1" fillId="0" borderId="0" xfId="0" applyFont="1"/>
    <xf numFmtId="164" fontId="0" fillId="0" borderId="0" xfId="0" applyNumberFormat="1"/>
    <xf numFmtId="164" fontId="1" fillId="0" borderId="0" xfId="0" applyNumberFormat="1" applyFont="1"/>
    <xf numFmtId="2" fontId="0" fillId="3" borderId="10" xfId="0" applyNumberFormat="1" applyFill="1" applyBorder="1" applyAlignment="1">
      <alignment horizontal="center"/>
    </xf>
    <xf numFmtId="0" fontId="0" fillId="0" borderId="45" xfId="0" applyBorder="1" applyAlignment="1">
      <alignment vertical="center"/>
    </xf>
    <xf numFmtId="0" fontId="0" fillId="0" borderId="10" xfId="0" applyBorder="1" applyAlignment="1">
      <alignment vertical="center"/>
    </xf>
    <xf numFmtId="0" fontId="1" fillId="0" borderId="7" xfId="0" applyFont="1" applyBorder="1"/>
    <xf numFmtId="2" fontId="0" fillId="0" borderId="39" xfId="0" applyNumberFormat="1" applyBorder="1"/>
    <xf numFmtId="2" fontId="1" fillId="0" borderId="3" xfId="0" applyNumberFormat="1" applyFont="1" applyBorder="1"/>
    <xf numFmtId="2" fontId="5" fillId="3" borderId="10" xfId="0" applyNumberFormat="1" applyFont="1" applyFill="1" applyBorder="1" applyAlignment="1">
      <alignment horizontal="center"/>
    </xf>
    <xf numFmtId="0" fontId="0" fillId="3" borderId="28" xfId="0" applyFill="1" applyBorder="1" applyAlignment="1">
      <alignment horizontal="center"/>
    </xf>
    <xf numFmtId="2" fontId="6" fillId="0" borderId="3" xfId="0" applyNumberFormat="1" applyFont="1" applyBorder="1"/>
    <xf numFmtId="164" fontId="7" fillId="0" borderId="10" xfId="0" applyNumberFormat="1" applyFont="1" applyBorder="1" applyAlignment="1">
      <alignment horizontal="center"/>
    </xf>
    <xf numFmtId="0" fontId="7" fillId="0" borderId="10" xfId="0" applyFont="1" applyBorder="1"/>
    <xf numFmtId="0" fontId="6" fillId="0" borderId="0" xfId="0" applyFont="1"/>
    <xf numFmtId="2" fontId="6" fillId="0" borderId="0" xfId="0" applyNumberFormat="1" applyFont="1"/>
    <xf numFmtId="2" fontId="0" fillId="0" borderId="3" xfId="0" applyNumberFormat="1" applyBorder="1"/>
    <xf numFmtId="2" fontId="3" fillId="0" borderId="10" xfId="0" applyNumberFormat="1" applyFont="1" applyBorder="1" applyAlignment="1">
      <alignment horizontal="center"/>
    </xf>
    <xf numFmtId="0" fontId="1" fillId="2" borderId="46" xfId="0" applyFont="1" applyFill="1" applyBorder="1"/>
    <xf numFmtId="164" fontId="5" fillId="0" borderId="10" xfId="0" applyNumberFormat="1" applyFont="1" applyBorder="1"/>
    <xf numFmtId="0" fontId="0" fillId="0" borderId="47" xfId="0" applyBorder="1" applyAlignment="1">
      <alignment horizontal="center"/>
    </xf>
    <xf numFmtId="0" fontId="0" fillId="0" borderId="10" xfId="0" applyBorder="1" applyAlignment="1">
      <alignment horizontal="right"/>
    </xf>
    <xf numFmtId="165" fontId="0" fillId="0" borderId="7" xfId="0" applyNumberFormat="1" applyBorder="1"/>
    <xf numFmtId="0" fontId="0" fillId="0" borderId="45" xfId="0" applyBorder="1" applyAlignment="1">
      <alignment horizontal="left" vertical="center"/>
    </xf>
    <xf numFmtId="164" fontId="9" fillId="4" borderId="10" xfId="0" applyNumberFormat="1" applyFont="1" applyFill="1" applyBorder="1" applyAlignment="1">
      <alignment vertical="center"/>
    </xf>
    <xf numFmtId="0" fontId="9" fillId="0" borderId="38" xfId="0" applyFont="1" applyBorder="1" applyAlignment="1">
      <alignment vertical="center"/>
    </xf>
    <xf numFmtId="0" fontId="9" fillId="0" borderId="9" xfId="0" applyFont="1" applyBorder="1" applyAlignment="1">
      <alignment vertical="center"/>
    </xf>
    <xf numFmtId="164" fontId="1" fillId="0" borderId="37" xfId="0" applyNumberFormat="1" applyFont="1" applyBorder="1"/>
    <xf numFmtId="164" fontId="0" fillId="0" borderId="37" xfId="0" applyNumberFormat="1" applyBorder="1"/>
    <xf numFmtId="0" fontId="1" fillId="0" borderId="4" xfId="0" applyFont="1" applyBorder="1" applyAlignment="1">
      <alignment vertical="center"/>
    </xf>
    <xf numFmtId="0" fontId="1" fillId="0" borderId="24" xfId="0" applyFont="1" applyBorder="1" applyAlignment="1">
      <alignment vertical="center"/>
    </xf>
    <xf numFmtId="0" fontId="1" fillId="0" borderId="0" xfId="0" applyFont="1" applyAlignment="1">
      <alignment vertical="center"/>
    </xf>
    <xf numFmtId="0" fontId="0" fillId="3" borderId="7" xfId="0" applyFill="1" applyBorder="1" applyAlignment="1">
      <alignment horizontal="center" vertical="center"/>
    </xf>
    <xf numFmtId="164" fontId="0" fillId="3" borderId="10" xfId="0" applyNumberFormat="1" applyFill="1" applyBorder="1"/>
    <xf numFmtId="0" fontId="0" fillId="3" borderId="6" xfId="0" applyFill="1" applyBorder="1"/>
    <xf numFmtId="166" fontId="0" fillId="0" borderId="10" xfId="0" applyNumberFormat="1" applyBorder="1"/>
    <xf numFmtId="9" fontId="0" fillId="0" borderId="13" xfId="0" applyNumberFormat="1" applyBorder="1"/>
    <xf numFmtId="166" fontId="0" fillId="0" borderId="0" xfId="0" applyNumberFormat="1"/>
    <xf numFmtId="166" fontId="0" fillId="3" borderId="10" xfId="0" applyNumberFormat="1" applyFill="1" applyBorder="1"/>
    <xf numFmtId="164" fontId="1" fillId="2" borderId="10" xfId="0" applyNumberFormat="1" applyFont="1" applyFill="1" applyBorder="1"/>
    <xf numFmtId="167" fontId="0" fillId="0" borderId="10" xfId="1" applyNumberFormat="1" applyFont="1" applyBorder="1"/>
    <xf numFmtId="167" fontId="1" fillId="0" borderId="10" xfId="1" applyNumberFormat="1" applyFont="1" applyBorder="1"/>
    <xf numFmtId="0" fontId="0" fillId="0" borderId="10" xfId="0" applyBorder="1" applyAlignment="1">
      <alignment horizontal="left" indent="1"/>
    </xf>
    <xf numFmtId="0" fontId="0" fillId="0" borderId="0" xfId="0" quotePrefix="1"/>
    <xf numFmtId="0" fontId="1" fillId="3" borderId="10" xfId="0" applyFont="1" applyFill="1" applyBorder="1"/>
    <xf numFmtId="4" fontId="1" fillId="0" borderId="10" xfId="0" applyNumberFormat="1" applyFont="1" applyBorder="1"/>
    <xf numFmtId="4" fontId="0" fillId="0" borderId="10" xfId="0" applyNumberFormat="1" applyBorder="1"/>
    <xf numFmtId="4" fontId="0" fillId="0" borderId="41" xfId="0" applyNumberFormat="1" applyBorder="1"/>
    <xf numFmtId="0" fontId="1" fillId="2" borderId="15" xfId="0" applyFont="1" applyFill="1" applyBorder="1" applyAlignment="1">
      <alignment horizontal="center"/>
    </xf>
    <xf numFmtId="0" fontId="1" fillId="2" borderId="14" xfId="0" applyFont="1" applyFill="1" applyBorder="1" applyAlignment="1">
      <alignment horizontal="center"/>
    </xf>
    <xf numFmtId="0" fontId="1" fillId="2" borderId="23" xfId="0" applyFont="1" applyFill="1" applyBorder="1" applyAlignment="1">
      <alignment horizontal="center"/>
    </xf>
    <xf numFmtId="0" fontId="1"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0" fillId="0" borderId="11" xfId="0" applyBorder="1" applyAlignment="1">
      <alignment horizontal="center" vertical="top"/>
    </xf>
    <xf numFmtId="0" fontId="0" fillId="0" borderId="20" xfId="0" applyBorder="1" applyAlignment="1">
      <alignment horizontal="center" vertical="top"/>
    </xf>
    <xf numFmtId="0" fontId="0" fillId="0" borderId="12" xfId="0"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2" xfId="0" applyBorder="1" applyAlignment="1">
      <alignment horizontal="center" vertical="top"/>
    </xf>
    <xf numFmtId="0" fontId="0" fillId="0" borderId="15" xfId="0" applyBorder="1" applyAlignment="1">
      <alignment horizontal="center" vertical="top"/>
    </xf>
    <xf numFmtId="0" fontId="0" fillId="0" borderId="14" xfId="0" applyBorder="1" applyAlignment="1">
      <alignment horizontal="center" vertical="top"/>
    </xf>
    <xf numFmtId="0" fontId="0" fillId="0" borderId="23" xfId="0" applyBorder="1" applyAlignment="1">
      <alignment horizontal="center" vertical="top"/>
    </xf>
    <xf numFmtId="0" fontId="1" fillId="0" borderId="2" xfId="0" applyFont="1" applyBorder="1" applyAlignment="1">
      <alignment horizontal="center"/>
    </xf>
    <xf numFmtId="0" fontId="1" fillId="0" borderId="4" xfId="0" applyFont="1" applyBorder="1" applyAlignment="1">
      <alignment horizontal="center"/>
    </xf>
    <xf numFmtId="0" fontId="1" fillId="0" borderId="24" xfId="0" applyFont="1" applyBorder="1" applyAlignment="1">
      <alignment horizontal="center"/>
    </xf>
    <xf numFmtId="0" fontId="1" fillId="0" borderId="45" xfId="0" applyFont="1" applyBorder="1" applyAlignment="1">
      <alignment horizontal="center" wrapText="1"/>
    </xf>
    <xf numFmtId="0" fontId="0" fillId="0" borderId="11" xfId="0" applyBorder="1" applyAlignment="1">
      <alignment horizontal="center" vertical="top" wrapText="1"/>
    </xf>
    <xf numFmtId="0" fontId="0" fillId="0" borderId="20" xfId="0" applyBorder="1" applyAlignment="1">
      <alignment horizontal="center" vertical="top" wrapText="1"/>
    </xf>
    <xf numFmtId="0" fontId="0" fillId="0" borderId="12" xfId="0" applyBorder="1" applyAlignment="1">
      <alignment horizontal="center" vertical="top" wrapText="1"/>
    </xf>
    <xf numFmtId="0" fontId="0" fillId="0" borderId="21" xfId="0" applyBorder="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15" xfId="0" applyBorder="1" applyAlignment="1">
      <alignment horizontal="center" vertical="top" wrapText="1"/>
    </xf>
    <xf numFmtId="0" fontId="0" fillId="0" borderId="14" xfId="0" applyBorder="1" applyAlignment="1">
      <alignment horizontal="center" vertical="top" wrapText="1"/>
    </xf>
    <xf numFmtId="0" fontId="0" fillId="0" borderId="23" xfId="0" applyBorder="1" applyAlignment="1">
      <alignment horizontal="center" vertical="top" wrapText="1"/>
    </xf>
    <xf numFmtId="0" fontId="1" fillId="0" borderId="45" xfId="0" applyFont="1" applyBorder="1" applyAlignment="1">
      <alignment horizontal="center"/>
    </xf>
    <xf numFmtId="0" fontId="1" fillId="0" borderId="10" xfId="0" applyFont="1" applyBorder="1" applyAlignment="1">
      <alignment horizontal="center"/>
    </xf>
    <xf numFmtId="0" fontId="0" fillId="0" borderId="35" xfId="0" applyBorder="1" applyAlignment="1">
      <alignment horizontal="center" vertical="top" wrapText="1"/>
    </xf>
    <xf numFmtId="0" fontId="0" fillId="0" borderId="34" xfId="0" applyBorder="1" applyAlignment="1">
      <alignment horizontal="center" vertical="top" wrapText="1"/>
    </xf>
    <xf numFmtId="0" fontId="0" fillId="0" borderId="36" xfId="0" applyBorder="1" applyAlignment="1">
      <alignment horizontal="center" vertical="top" wrapText="1"/>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39" xfId="0" applyBorder="1" applyAlignment="1">
      <alignment horizontal="center" vertical="top" wrapText="1"/>
    </xf>
    <xf numFmtId="0" fontId="0" fillId="0" borderId="40" xfId="0" applyBorder="1" applyAlignment="1">
      <alignment horizontal="center" vertical="top" wrapText="1"/>
    </xf>
    <xf numFmtId="0" fontId="0" fillId="0" borderId="6" xfId="0" applyBorder="1" applyAlignment="1">
      <alignment horizontal="center" vertical="top" wrapText="1"/>
    </xf>
    <xf numFmtId="0" fontId="1" fillId="0" borderId="35" xfId="0" applyFont="1" applyBorder="1" applyAlignment="1">
      <alignment horizontal="center"/>
    </xf>
    <xf numFmtId="0" fontId="1" fillId="0" borderId="34" xfId="0" applyFont="1" applyBorder="1" applyAlignment="1">
      <alignment horizontal="center"/>
    </xf>
    <xf numFmtId="0" fontId="1" fillId="0" borderId="36" xfId="0" applyFont="1" applyBorder="1" applyAlignment="1">
      <alignment horizontal="center"/>
    </xf>
    <xf numFmtId="0" fontId="0" fillId="0" borderId="20" xfId="0" applyBorder="1" applyAlignment="1">
      <alignment horizontal="center" wrapText="1"/>
    </xf>
    <xf numFmtId="0" fontId="0" fillId="0" borderId="0" xfId="0" applyAlignment="1">
      <alignment horizontal="center" wrapText="1"/>
    </xf>
    <xf numFmtId="0" fontId="1" fillId="2" borderId="2" xfId="0" applyFont="1" applyFill="1" applyBorder="1" applyAlignment="1">
      <alignment horizontal="center"/>
    </xf>
    <xf numFmtId="0" fontId="1" fillId="2" borderId="24" xfId="0" applyFont="1" applyFill="1" applyBorder="1" applyAlignment="1">
      <alignment horizontal="center"/>
    </xf>
    <xf numFmtId="0" fontId="0" fillId="0" borderId="11" xfId="0" applyBorder="1" applyAlignment="1">
      <alignment horizontal="center" wrapText="1"/>
    </xf>
    <xf numFmtId="0" fontId="0" fillId="0" borderId="12"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center" wrapText="1"/>
    </xf>
    <xf numFmtId="0" fontId="0" fillId="0" borderId="23" xfId="0" applyBorder="1" applyAlignment="1">
      <alignment horizontal="center" wrapText="1"/>
    </xf>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1" fillId="2" borderId="21" xfId="0" applyFont="1" applyFill="1" applyBorder="1" applyAlignment="1">
      <alignment horizontal="center" vertical="center"/>
    </xf>
    <xf numFmtId="0" fontId="1" fillId="2" borderId="15"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tabSelected="1" topLeftCell="C5" workbookViewId="0">
      <selection activeCell="L34" sqref="L34"/>
    </sheetView>
  </sheetViews>
  <sheetFormatPr baseColWidth="10" defaultColWidth="11.33203125" defaultRowHeight="15" x14ac:dyDescent="0.2"/>
  <cols>
    <col min="2" max="2" width="8.6640625" customWidth="1"/>
    <col min="3" max="3" width="21.33203125" customWidth="1"/>
    <col min="4" max="4" width="21.6640625" customWidth="1"/>
    <col min="5" max="5" width="13.5" customWidth="1"/>
    <col min="7" max="7" width="22" bestFit="1" customWidth="1"/>
    <col min="8" max="8" width="14" customWidth="1"/>
    <col min="9" max="10" width="15" customWidth="1"/>
    <col min="11" max="13" width="12.6640625" bestFit="1" customWidth="1"/>
  </cols>
  <sheetData>
    <row r="2" spans="2:12" ht="16" thickBot="1" x14ac:dyDescent="0.25">
      <c r="C2" s="88" t="s">
        <v>0</v>
      </c>
      <c r="D2" s="112" t="s">
        <v>94</v>
      </c>
      <c r="E2" s="113"/>
      <c r="F2" s="114"/>
    </row>
    <row r="3" spans="2:12" ht="16" thickBot="1" x14ac:dyDescent="0.25">
      <c r="B3" s="88" t="s">
        <v>92</v>
      </c>
      <c r="C3" s="88" t="s">
        <v>93</v>
      </c>
      <c r="D3" s="21">
        <v>2236</v>
      </c>
      <c r="E3" s="21">
        <v>4910</v>
      </c>
      <c r="F3" s="21">
        <v>4660</v>
      </c>
      <c r="G3" s="2" t="s">
        <v>1</v>
      </c>
      <c r="H3" s="23" t="s">
        <v>2</v>
      </c>
      <c r="I3" s="24" t="s">
        <v>3</v>
      </c>
      <c r="J3" s="24" t="s">
        <v>10</v>
      </c>
      <c r="K3" s="3" t="s">
        <v>5</v>
      </c>
      <c r="L3" s="2" t="s">
        <v>6</v>
      </c>
    </row>
    <row r="4" spans="2:12" x14ac:dyDescent="0.2">
      <c r="B4" s="13">
        <v>1</v>
      </c>
      <c r="C4" s="89"/>
      <c r="D4" s="19">
        <f>'DÍA 1'!C4</f>
        <v>0</v>
      </c>
      <c r="E4" s="19">
        <f>'DÍA 1'!D4</f>
        <v>0</v>
      </c>
      <c r="F4" s="19">
        <f>'DÍA 1'!E4</f>
        <v>0</v>
      </c>
      <c r="G4" s="19">
        <f>'DÍA 1'!F4</f>
        <v>0</v>
      </c>
      <c r="H4" s="19">
        <f>'DÍA 1'!G4</f>
        <v>0</v>
      </c>
      <c r="I4" s="19">
        <f>'DÍA 1'!H4</f>
        <v>768</v>
      </c>
      <c r="J4" s="19">
        <f>'DÍA 1'!I4</f>
        <v>0</v>
      </c>
      <c r="K4" s="19">
        <f>'DÍA 1'!J4</f>
        <v>395520</v>
      </c>
      <c r="L4" s="19">
        <f>'DÍA 1'!K4</f>
        <v>768</v>
      </c>
    </row>
    <row r="5" spans="2:12" x14ac:dyDescent="0.2">
      <c r="B5" s="13">
        <v>2</v>
      </c>
      <c r="C5" s="90"/>
      <c r="D5" s="19">
        <f>'DÍA 2'!C4</f>
        <v>23925</v>
      </c>
      <c r="E5" s="19">
        <f>'DÍA 2'!D4</f>
        <v>25000</v>
      </c>
      <c r="F5" s="19">
        <f>'DÍA 2'!E4</f>
        <v>0</v>
      </c>
      <c r="G5" s="19">
        <f>'DÍA 2'!F4</f>
        <v>0</v>
      </c>
      <c r="H5" s="19">
        <f>'DÍA 2'!G4</f>
        <v>5</v>
      </c>
      <c r="I5" s="19">
        <f>'DÍA 2'!H4</f>
        <v>283</v>
      </c>
      <c r="J5" s="19">
        <f>'DÍA 2'!I4</f>
        <v>0</v>
      </c>
      <c r="K5" s="19">
        <f>'DÍA 2'!J4</f>
        <v>197245</v>
      </c>
      <c r="L5" s="19">
        <f>'DÍA 2'!K4</f>
        <v>383</v>
      </c>
    </row>
    <row r="6" spans="2:12" x14ac:dyDescent="0.2">
      <c r="B6" s="13">
        <v>3</v>
      </c>
      <c r="C6" s="9"/>
      <c r="D6" s="19">
        <f>'DÍA 3'!C4</f>
        <v>0</v>
      </c>
      <c r="E6" s="19">
        <f>'DÍA 3'!D4</f>
        <v>0</v>
      </c>
      <c r="F6" s="19">
        <f>'DÍA 3'!E4</f>
        <v>0</v>
      </c>
      <c r="G6" s="19">
        <f>'DÍA 3'!F4</f>
        <v>0</v>
      </c>
      <c r="H6" s="19">
        <f>'DÍA 3'!G4</f>
        <v>0</v>
      </c>
      <c r="I6" s="19">
        <f>'DÍA 3'!H4</f>
        <v>697</v>
      </c>
      <c r="J6" s="19">
        <f>'DÍA 3'!I4</f>
        <v>15510</v>
      </c>
      <c r="K6" s="19">
        <f>'DÍA 3'!J4</f>
        <v>375859</v>
      </c>
      <c r="L6" s="19">
        <f>'DÍA 3'!K4</f>
        <v>727</v>
      </c>
    </row>
    <row r="7" spans="2:12" x14ac:dyDescent="0.2">
      <c r="B7" s="13">
        <v>4</v>
      </c>
      <c r="C7" s="9"/>
      <c r="D7" s="19">
        <f>'DÍA 4'!C4</f>
        <v>0</v>
      </c>
      <c r="E7" s="19">
        <f>'DÍA 4'!D4</f>
        <v>0</v>
      </c>
      <c r="F7" s="19">
        <f>'DÍA 4'!E4</f>
        <v>0</v>
      </c>
      <c r="G7" s="19">
        <f>'DÍA 4'!F4</f>
        <v>0</v>
      </c>
      <c r="H7" s="19">
        <f>'DÍA 4'!G4</f>
        <v>0</v>
      </c>
      <c r="I7" s="19">
        <f>'DÍA 4'!H4</f>
        <v>205</v>
      </c>
      <c r="J7" s="19">
        <f>'DÍA 4'!I4</f>
        <v>0</v>
      </c>
      <c r="K7" s="19">
        <f>'DÍA 4'!J4</f>
        <v>106190</v>
      </c>
      <c r="L7" s="19">
        <f>'DÍA 4'!K4</f>
        <v>205</v>
      </c>
    </row>
    <row r="8" spans="2:12" x14ac:dyDescent="0.2">
      <c r="B8" s="13">
        <v>5</v>
      </c>
      <c r="C8" s="9"/>
      <c r="D8" s="19">
        <f>'DÍA 5'!C4</f>
        <v>0</v>
      </c>
      <c r="E8" s="19">
        <f>'DÍA 5'!D4</f>
        <v>0</v>
      </c>
      <c r="F8" s="19">
        <f>'DÍA 5'!E4</f>
        <v>0</v>
      </c>
      <c r="G8" s="19">
        <f>'DÍA 5'!F4</f>
        <v>0</v>
      </c>
      <c r="H8" s="19">
        <f>'DÍA 5'!G4</f>
        <v>0</v>
      </c>
      <c r="I8" s="19">
        <f>'DÍA 5'!H4</f>
        <v>593</v>
      </c>
      <c r="J8" s="19">
        <f>'DÍA 5'!I4</f>
        <v>0</v>
      </c>
      <c r="K8" s="19">
        <f>'DÍA 5'!J4</f>
        <v>307174</v>
      </c>
      <c r="L8" s="19">
        <f>'DÍA 5'!K4</f>
        <v>593</v>
      </c>
    </row>
    <row r="9" spans="2:12" x14ac:dyDescent="0.2">
      <c r="B9" s="13">
        <v>6</v>
      </c>
      <c r="C9" s="9"/>
      <c r="D9" s="19">
        <f>'DÍA 6'!C4</f>
        <v>0</v>
      </c>
      <c r="E9" s="19">
        <f>'DÍA 6'!D4</f>
        <v>0</v>
      </c>
      <c r="F9" s="19">
        <f>'DÍA 6'!E4</f>
        <v>0</v>
      </c>
      <c r="G9" s="19">
        <f>'DÍA 6'!F4</f>
        <v>0</v>
      </c>
      <c r="H9" s="19">
        <f>'DÍA 6'!G4</f>
        <v>0</v>
      </c>
      <c r="I9" s="19">
        <f>'DÍA 6'!H4</f>
        <v>90</v>
      </c>
      <c r="J9" s="19">
        <f>'DÍA 6'!I4</f>
        <v>0</v>
      </c>
      <c r="K9" s="19">
        <f>'DÍA 6'!J4</f>
        <v>46620</v>
      </c>
      <c r="L9" s="19">
        <f>'DÍA 6'!K4</f>
        <v>90</v>
      </c>
    </row>
    <row r="10" spans="2:12" x14ac:dyDescent="0.2">
      <c r="B10" s="13">
        <v>7</v>
      </c>
      <c r="C10" s="9"/>
      <c r="D10" s="19">
        <f>'DÍA 7'!C4</f>
        <v>0</v>
      </c>
      <c r="E10" s="19">
        <f>'DÍA 7'!D4</f>
        <v>0</v>
      </c>
      <c r="F10" s="19">
        <f>'DÍA 7'!E4</f>
        <v>0</v>
      </c>
      <c r="G10" s="19">
        <f>'DÍA 7'!F4</f>
        <v>0</v>
      </c>
      <c r="H10" s="19">
        <f>'DÍA 7'!G4</f>
        <v>0</v>
      </c>
      <c r="I10" s="19">
        <f>'DÍA 7'!H4</f>
        <v>45</v>
      </c>
      <c r="J10" s="19">
        <f>'DÍA 7'!I4</f>
        <v>1040</v>
      </c>
      <c r="K10" s="19">
        <f>'DÍA 7'!J4</f>
        <v>24440</v>
      </c>
      <c r="L10" s="19">
        <f>'DÍA 7'!K4</f>
        <v>47</v>
      </c>
    </row>
    <row r="11" spans="2:12" x14ac:dyDescent="0.2">
      <c r="B11" s="13">
        <v>8</v>
      </c>
      <c r="C11" s="9"/>
      <c r="D11" s="19">
        <f>'DÍA 8'!C4</f>
        <v>0</v>
      </c>
      <c r="E11" s="19">
        <f>'DÍA 8'!D4</f>
        <v>0</v>
      </c>
      <c r="F11" s="19">
        <f>'DÍA 8'!E4</f>
        <v>0</v>
      </c>
      <c r="G11" s="19">
        <f>'DÍA 8'!F4</f>
        <v>0</v>
      </c>
      <c r="H11" s="19">
        <f>'DÍA 8'!G4</f>
        <v>0</v>
      </c>
      <c r="I11" s="19">
        <f>'DÍA 8'!H4</f>
        <v>178</v>
      </c>
      <c r="J11" s="19">
        <f>'DÍA 8'!I4</f>
        <v>0</v>
      </c>
      <c r="K11" s="19">
        <f>'DÍA 8'!J4</f>
        <v>92560</v>
      </c>
      <c r="L11" s="19">
        <f>'DÍA 8'!K4</f>
        <v>178</v>
      </c>
    </row>
    <row r="12" spans="2:12" x14ac:dyDescent="0.2">
      <c r="B12" s="13">
        <v>9</v>
      </c>
      <c r="C12" s="9"/>
      <c r="D12" s="19">
        <f>'DÍA 9'!C4</f>
        <v>0</v>
      </c>
      <c r="E12" s="19">
        <f>'DÍA 9'!D4</f>
        <v>0</v>
      </c>
      <c r="F12" s="19">
        <f>'DÍA 9'!E4</f>
        <v>0</v>
      </c>
      <c r="G12" s="19">
        <f>'DÍA 9'!F4</f>
        <v>0</v>
      </c>
      <c r="H12" s="19">
        <f>'DÍA 9'!G4</f>
        <v>0</v>
      </c>
      <c r="I12" s="19">
        <f>'DÍA 9'!H4</f>
        <v>103</v>
      </c>
      <c r="J12" s="19">
        <f>'DÍA 9'!I4</f>
        <v>0</v>
      </c>
      <c r="K12" s="19">
        <f>'DÍA 9'!J4</f>
        <v>53560</v>
      </c>
      <c r="L12" s="19">
        <f>'DÍA 9'!K4</f>
        <v>103</v>
      </c>
    </row>
    <row r="13" spans="2:12" x14ac:dyDescent="0.2">
      <c r="B13" s="13">
        <v>10</v>
      </c>
      <c r="C13" s="9"/>
      <c r="D13" s="19">
        <f>'DÍA 10'!C4</f>
        <v>0</v>
      </c>
      <c r="E13" s="19">
        <f>'DÍA 10'!D4</f>
        <v>0</v>
      </c>
      <c r="F13" s="19">
        <f>'DÍA 10'!E4</f>
        <v>0</v>
      </c>
      <c r="G13" s="19">
        <f>'DÍA 10'!F4</f>
        <v>0</v>
      </c>
      <c r="H13" s="19">
        <f>'DÍA 10'!G4</f>
        <v>0</v>
      </c>
      <c r="I13" s="19">
        <f>'DÍA 10'!H4</f>
        <v>160</v>
      </c>
      <c r="J13" s="19">
        <f>'DÍA 10'!I4</f>
        <v>0</v>
      </c>
      <c r="K13" s="19">
        <f>'DÍA 10'!J4</f>
        <v>83200</v>
      </c>
      <c r="L13" s="19">
        <f>'DÍA 10'!K4</f>
        <v>160</v>
      </c>
    </row>
    <row r="14" spans="2:12" x14ac:dyDescent="0.2">
      <c r="B14" s="13">
        <v>11</v>
      </c>
      <c r="C14" s="9"/>
      <c r="D14" s="19">
        <f>'DÍA 11'!C4</f>
        <v>0</v>
      </c>
      <c r="E14" s="19">
        <f>'DÍA 11'!D4</f>
        <v>78450</v>
      </c>
      <c r="F14" s="19">
        <f>'DÍA 11'!E4</f>
        <v>30334</v>
      </c>
      <c r="G14" s="19">
        <f>'DÍA 11'!F4</f>
        <v>0</v>
      </c>
      <c r="H14" s="19">
        <f>'DÍA 11'!G4</f>
        <v>0</v>
      </c>
      <c r="I14" s="19">
        <f>'DÍA 11'!H4</f>
        <v>35</v>
      </c>
      <c r="J14" s="19">
        <f>'DÍA 11'!I4</f>
        <v>26150</v>
      </c>
      <c r="K14" s="19">
        <f>'DÍA 11'!J4</f>
        <v>153239</v>
      </c>
      <c r="L14" s="19">
        <f>'DÍA 11'!K4</f>
        <v>293</v>
      </c>
    </row>
    <row r="15" spans="2:12" x14ac:dyDescent="0.2">
      <c r="B15" s="13">
        <v>12</v>
      </c>
      <c r="C15" s="9"/>
      <c r="D15" s="19">
        <f>'DÍA 12'!C4</f>
        <v>0</v>
      </c>
      <c r="E15" s="19">
        <f>'DÍA 12'!D4</f>
        <v>0</v>
      </c>
      <c r="F15" s="19">
        <f>'DÍA 12'!E4</f>
        <v>0</v>
      </c>
      <c r="G15" s="19">
        <f>'DÍA 12'!F4</f>
        <v>0</v>
      </c>
      <c r="H15" s="19">
        <f>'DÍA 12'!G4</f>
        <v>0</v>
      </c>
      <c r="I15" s="19">
        <f>'DÍA 12'!H4</f>
        <v>477</v>
      </c>
      <c r="J15" s="19">
        <f>'DÍA 12'!I4</f>
        <v>0</v>
      </c>
      <c r="K15" s="19">
        <f>'DÍA 12'!J4</f>
        <v>249471</v>
      </c>
      <c r="L15" s="19">
        <f>'DÍA 12'!K4</f>
        <v>477</v>
      </c>
    </row>
    <row r="16" spans="2:12" x14ac:dyDescent="0.2">
      <c r="B16" s="13">
        <v>13</v>
      </c>
      <c r="C16" s="9"/>
      <c r="D16" s="19">
        <f>'DÍA 13'!C4</f>
        <v>0</v>
      </c>
      <c r="E16" s="19">
        <f>'DÍA 13'!D4</f>
        <v>0</v>
      </c>
      <c r="F16" s="19">
        <f>'DÍA 13'!E4</f>
        <v>0</v>
      </c>
      <c r="G16" s="19">
        <f>'DÍA 13'!F4</f>
        <v>0</v>
      </c>
      <c r="H16" s="19">
        <f>'DÍA 13'!G4</f>
        <v>0</v>
      </c>
      <c r="I16" s="19">
        <f>'DÍA 13'!H4</f>
        <v>235.8</v>
      </c>
      <c r="J16" s="19">
        <f>'DÍA 13'!I4</f>
        <v>0</v>
      </c>
      <c r="K16" s="19">
        <f>'DÍA 13'!J4</f>
        <v>123323.40000000001</v>
      </c>
      <c r="L16" s="19">
        <f>'DÍA 13'!K4</f>
        <v>235.8</v>
      </c>
    </row>
    <row r="17" spans="2:12" x14ac:dyDescent="0.2">
      <c r="B17" s="13">
        <v>14</v>
      </c>
      <c r="C17" s="9"/>
      <c r="D17" s="19">
        <f>'DÍA 14'!C4</f>
        <v>0</v>
      </c>
      <c r="E17" s="19">
        <f>'DÍA 14'!D4</f>
        <v>0</v>
      </c>
      <c r="F17" s="19">
        <f>'DÍA 14'!E4</f>
        <v>0</v>
      </c>
      <c r="G17" s="19">
        <f>'DÍA 14'!F4</f>
        <v>0</v>
      </c>
      <c r="H17" s="19">
        <f>'DÍA 14'!G4</f>
        <v>0</v>
      </c>
      <c r="I17" s="19">
        <f>'DÍA 14'!H4</f>
        <v>85</v>
      </c>
      <c r="J17" s="19">
        <f>'DÍA 14'!I4</f>
        <v>26250</v>
      </c>
      <c r="K17" s="19">
        <f>'DÍA 14'!J4</f>
        <v>70875</v>
      </c>
      <c r="L17" s="19">
        <f>'DÍA 14'!K4</f>
        <v>135</v>
      </c>
    </row>
    <row r="18" spans="2:12" x14ac:dyDescent="0.2">
      <c r="B18" s="13">
        <v>15</v>
      </c>
      <c r="C18" s="9"/>
      <c r="D18" s="97">
        <f>'DÍA 15'!C4</f>
        <v>10500</v>
      </c>
      <c r="E18" s="19">
        <f>'DÍA 15'!D4</f>
        <v>0</v>
      </c>
      <c r="F18" s="19">
        <f>'DÍA 15'!E4</f>
        <v>0</v>
      </c>
      <c r="G18" s="19">
        <f>'DÍA 15'!F4</f>
        <v>0</v>
      </c>
      <c r="H18" s="19">
        <f>'DÍA 15'!G4</f>
        <v>0</v>
      </c>
      <c r="I18" s="19">
        <f>'DÍA 15'!H4</f>
        <v>193</v>
      </c>
      <c r="J18" s="19">
        <f>'DÍA 15'!I4</f>
        <v>36850</v>
      </c>
      <c r="K18" s="19">
        <f>'DÍA 15'!J4</f>
        <v>148675</v>
      </c>
      <c r="L18" s="19">
        <f>'DÍA 15'!K4</f>
        <v>283.1904761904762</v>
      </c>
    </row>
    <row r="19" spans="2:12" x14ac:dyDescent="0.2">
      <c r="B19" s="13">
        <v>16</v>
      </c>
      <c r="C19" s="9"/>
      <c r="D19" s="19">
        <f>'DÍA 16'!C4</f>
        <v>0</v>
      </c>
      <c r="E19" s="19">
        <f>'DÍA 16'!D4</f>
        <v>0</v>
      </c>
      <c r="F19" s="19">
        <f>'DÍA 16'!E4</f>
        <v>21100</v>
      </c>
      <c r="G19" s="19">
        <f>'DÍA 16'!F4</f>
        <v>0</v>
      </c>
      <c r="H19" s="19">
        <f>'DÍA 16'!G4</f>
        <v>150</v>
      </c>
      <c r="I19" s="19">
        <f>'DÍA 16'!H4</f>
        <v>21</v>
      </c>
      <c r="J19" s="19">
        <f>'DÍA 16'!I4</f>
        <v>26250</v>
      </c>
      <c r="K19" s="19">
        <f>'DÍA 16'!J4</f>
        <v>137125</v>
      </c>
      <c r="L19" s="19">
        <f>'DÍA 16'!K4</f>
        <v>261.1904761904762</v>
      </c>
    </row>
    <row r="20" spans="2:12" x14ac:dyDescent="0.2">
      <c r="B20" s="13">
        <v>17</v>
      </c>
      <c r="C20" s="9"/>
      <c r="D20" s="19">
        <f>'DÍA 17'!C4</f>
        <v>0</v>
      </c>
      <c r="E20" s="19">
        <f>'DÍA 17'!D4</f>
        <v>0</v>
      </c>
      <c r="F20" s="19">
        <f>'DÍA 17'!E4</f>
        <v>0</v>
      </c>
      <c r="G20" s="19">
        <f>'DÍA 17'!F4</f>
        <v>0</v>
      </c>
      <c r="H20" s="19">
        <f>'DÍA 17'!G4</f>
        <v>70</v>
      </c>
      <c r="I20" s="19">
        <f>'DÍA 17'!H4</f>
        <v>169</v>
      </c>
      <c r="J20" s="19">
        <f>'DÍA 17'!I4</f>
        <v>116350</v>
      </c>
      <c r="K20" s="19">
        <f>'DÍA 17'!J4</f>
        <v>241825</v>
      </c>
      <c r="L20" s="19">
        <f>'DÍA 17'!K4</f>
        <v>460.61904761904759</v>
      </c>
    </row>
    <row r="21" spans="2:12" x14ac:dyDescent="0.2">
      <c r="B21" s="13">
        <v>18</v>
      </c>
      <c r="C21" s="9"/>
      <c r="D21" s="19">
        <f>'DÍA 18'!C4</f>
        <v>0</v>
      </c>
      <c r="E21" s="19">
        <f>'DÍA 18'!D4</f>
        <v>0</v>
      </c>
      <c r="F21" s="19">
        <f>'DÍA 18'!E4</f>
        <v>0</v>
      </c>
      <c r="G21" s="19">
        <f>'DÍA 18'!F4</f>
        <v>0</v>
      </c>
      <c r="H21" s="19">
        <f>'DÍA 18'!G4</f>
        <v>10</v>
      </c>
      <c r="I21" s="19">
        <f>'DÍA 18'!H4</f>
        <v>504</v>
      </c>
      <c r="J21" s="19">
        <f>'DÍA 18'!I4</f>
        <v>163645</v>
      </c>
      <c r="K21" s="19">
        <f>'DÍA 18'!J4</f>
        <v>433495</v>
      </c>
      <c r="L21" s="19">
        <f>'DÍA 18'!K4</f>
        <v>825.70476190476188</v>
      </c>
    </row>
    <row r="22" spans="2:12" x14ac:dyDescent="0.2">
      <c r="B22" s="13">
        <v>19</v>
      </c>
      <c r="C22" s="9"/>
      <c r="D22" s="19">
        <f>'DÍA 19'!C4</f>
        <v>0</v>
      </c>
      <c r="E22" s="19">
        <f>'DÍA 19'!D4</f>
        <v>0</v>
      </c>
      <c r="F22" s="19">
        <f>'DÍA 19'!E4</f>
        <v>0</v>
      </c>
      <c r="G22" s="19">
        <f>'DÍA 19'!F4</f>
        <v>0</v>
      </c>
      <c r="H22" s="19">
        <f>'DÍA 19'!G4</f>
        <v>0</v>
      </c>
      <c r="I22" s="19">
        <f>'DÍA 19'!H4</f>
        <v>221</v>
      </c>
      <c r="J22" s="19">
        <f>'DÍA 19'!I4</f>
        <v>18500</v>
      </c>
      <c r="K22" s="19">
        <f>'DÍA 19'!J4</f>
        <v>134525</v>
      </c>
      <c r="L22" s="19">
        <f>'DÍA 19'!K4</f>
        <v>256.23809523809524</v>
      </c>
    </row>
    <row r="23" spans="2:12" x14ac:dyDescent="0.2">
      <c r="B23" s="13">
        <v>20</v>
      </c>
      <c r="C23" s="9"/>
      <c r="D23" s="19">
        <f>'DÍA 20'!C4</f>
        <v>0</v>
      </c>
      <c r="E23" s="19">
        <f>'DÍA 20'!D4</f>
        <v>0</v>
      </c>
      <c r="F23" s="19">
        <f>'DÍA 20'!E4</f>
        <v>0</v>
      </c>
      <c r="G23" s="19">
        <f>'DÍA 20'!F4</f>
        <v>0</v>
      </c>
      <c r="H23" s="19">
        <f>'DÍA 20'!G4</f>
        <v>40</v>
      </c>
      <c r="I23" s="19">
        <f>'DÍA 20'!H4</f>
        <v>43</v>
      </c>
      <c r="J23" s="19">
        <f>'DÍA 20'!I4</f>
        <v>0</v>
      </c>
      <c r="K23" s="19">
        <f>'DÍA 20'!J4</f>
        <v>43575</v>
      </c>
      <c r="L23" s="19">
        <f>'DÍA 20'!K4</f>
        <v>83</v>
      </c>
    </row>
    <row r="24" spans="2:12" x14ac:dyDescent="0.2">
      <c r="B24" s="13">
        <v>21</v>
      </c>
      <c r="C24" s="9"/>
      <c r="D24" s="19">
        <f>'DÍA 21'!C4</f>
        <v>0</v>
      </c>
      <c r="E24" s="19">
        <f>'DÍA 21'!D4</f>
        <v>0</v>
      </c>
      <c r="F24" s="19">
        <f>'DÍA 21'!E4</f>
        <v>0</v>
      </c>
      <c r="G24" s="19">
        <f>'DÍA 21'!F4</f>
        <v>0</v>
      </c>
      <c r="H24" s="19">
        <f>'DÍA 21'!G4</f>
        <v>0</v>
      </c>
      <c r="I24" s="19">
        <f>'DÍA 21'!H4</f>
        <v>119</v>
      </c>
      <c r="J24" s="19">
        <f>'DÍA 21'!I4</f>
        <v>0</v>
      </c>
      <c r="K24" s="19">
        <f>'DÍA 21'!J4</f>
        <v>62475</v>
      </c>
      <c r="L24" s="19">
        <f>'DÍA 21'!K4</f>
        <v>119</v>
      </c>
    </row>
    <row r="25" spans="2:12" x14ac:dyDescent="0.2">
      <c r="B25" s="13">
        <v>22</v>
      </c>
      <c r="C25" s="9"/>
      <c r="D25" s="19">
        <f>'DÍA 22'!C4</f>
        <v>0</v>
      </c>
      <c r="E25" s="19">
        <f>'DÍA 22'!D4</f>
        <v>0</v>
      </c>
      <c r="F25" s="19">
        <f>'DÍA 22'!E4</f>
        <v>0</v>
      </c>
      <c r="G25" s="19">
        <f>'DÍA 22'!F4</f>
        <v>0</v>
      </c>
      <c r="H25" s="19">
        <f>'DÍA 22'!G4</f>
        <v>0</v>
      </c>
      <c r="I25" s="19">
        <f>'DÍA 22'!H4</f>
        <v>131.54</v>
      </c>
      <c r="J25" s="19">
        <f>'DÍA 22'!I4</f>
        <v>0</v>
      </c>
      <c r="K25" s="19">
        <f>'DÍA 22'!J4</f>
        <v>69716.2</v>
      </c>
      <c r="L25" s="19">
        <f>'DÍA 22'!K4</f>
        <v>131.54</v>
      </c>
    </row>
    <row r="26" spans="2:12" x14ac:dyDescent="0.2">
      <c r="B26" s="13">
        <v>23</v>
      </c>
      <c r="C26" s="9"/>
      <c r="D26" s="19">
        <f>'DÍA 23'!C4</f>
        <v>0</v>
      </c>
      <c r="E26" s="19">
        <f>'DÍA 23'!D4</f>
        <v>0</v>
      </c>
      <c r="F26" s="19">
        <f>'DÍA 23'!E4</f>
        <v>0</v>
      </c>
      <c r="G26" s="19">
        <f>'DÍA 23'!F4</f>
        <v>0</v>
      </c>
      <c r="H26" s="19">
        <f>'DÍA 23'!G4</f>
        <v>0</v>
      </c>
      <c r="I26" s="19">
        <f>'DÍA 23'!H4</f>
        <v>113</v>
      </c>
      <c r="J26" s="19">
        <f>'DÍA 23'!I4</f>
        <v>17550</v>
      </c>
      <c r="K26" s="19">
        <f>'DÍA 23'!J4</f>
        <v>77440</v>
      </c>
      <c r="L26" s="19">
        <f>'DÍA 23'!K4</f>
        <v>146.11320754716982</v>
      </c>
    </row>
    <row r="27" spans="2:12" x14ac:dyDescent="0.2">
      <c r="B27" s="13">
        <v>24</v>
      </c>
      <c r="C27" s="10"/>
      <c r="D27" s="19">
        <f>'DÍA 24'!C4</f>
        <v>0</v>
      </c>
      <c r="E27" s="19">
        <f>'DÍA 24'!D4</f>
        <v>0</v>
      </c>
      <c r="F27" s="19">
        <f>'DÍA 24'!E4</f>
        <v>0</v>
      </c>
      <c r="G27" s="19">
        <f>'DÍA 24'!F4</f>
        <v>0</v>
      </c>
      <c r="H27" s="19">
        <f>'DÍA 24'!G4</f>
        <v>0</v>
      </c>
      <c r="I27" s="19">
        <f>'DÍA 24'!H4</f>
        <v>86</v>
      </c>
      <c r="J27" s="19">
        <f>'DÍA 24'!I4</f>
        <v>33127</v>
      </c>
      <c r="K27" s="19">
        <f>'DÍA 24'!J4</f>
        <v>78707</v>
      </c>
      <c r="L27" s="19">
        <f>'DÍA 24'!K4</f>
        <v>148.50377358490567</v>
      </c>
    </row>
    <row r="28" spans="2:12" x14ac:dyDescent="0.2">
      <c r="B28" s="13">
        <v>25</v>
      </c>
      <c r="C28" s="10"/>
      <c r="D28" s="19">
        <f>'DÍA 25'!C4</f>
        <v>0</v>
      </c>
      <c r="E28" s="19">
        <f>'DÍA 25'!D4</f>
        <v>0</v>
      </c>
      <c r="F28" s="19">
        <f>'DÍA 25'!E4</f>
        <v>0</v>
      </c>
      <c r="G28" s="19">
        <f>'DÍA 25'!F4</f>
        <v>0</v>
      </c>
      <c r="H28" s="19">
        <f>'DÍA 25'!G4</f>
        <v>200</v>
      </c>
      <c r="I28" s="19">
        <f>'DÍA 25'!H4</f>
        <v>90</v>
      </c>
      <c r="J28" s="19">
        <f>'DÍA 25'!I4</f>
        <v>184800</v>
      </c>
      <c r="K28" s="19">
        <f>'DÍA 25'!J4</f>
        <v>338500</v>
      </c>
      <c r="L28" s="19">
        <f>'DÍA 25'!K4</f>
        <v>638.67924528301887</v>
      </c>
    </row>
    <row r="29" spans="2:12" x14ac:dyDescent="0.2">
      <c r="B29" s="13">
        <v>26</v>
      </c>
      <c r="C29" s="10"/>
      <c r="D29" s="19">
        <f>'DÍA 26'!C4</f>
        <v>0</v>
      </c>
      <c r="E29" s="19">
        <f>'DÍA 26'!D4</f>
        <v>0</v>
      </c>
      <c r="F29" s="19">
        <f>'DÍA 26'!E4</f>
        <v>0</v>
      </c>
      <c r="G29" s="19">
        <f>'DÍA 26'!F4</f>
        <v>0</v>
      </c>
      <c r="H29" s="19">
        <f>'DÍA 26'!G4</f>
        <v>0</v>
      </c>
      <c r="I29" s="19">
        <f>'DÍA 26'!H4</f>
        <v>25</v>
      </c>
      <c r="J29" s="19">
        <f>'DÍA 26'!I4</f>
        <v>0</v>
      </c>
      <c r="K29" s="19">
        <f>'DÍA 26'!J4</f>
        <v>13250</v>
      </c>
      <c r="L29" s="19">
        <f>'DÍA 26'!K4</f>
        <v>25</v>
      </c>
    </row>
    <row r="30" spans="2:12" x14ac:dyDescent="0.2">
      <c r="B30" s="13">
        <v>27</v>
      </c>
      <c r="C30" s="10"/>
      <c r="D30" s="19">
        <f>'DÍA 27'!C4</f>
        <v>0</v>
      </c>
      <c r="E30" s="19">
        <f>'DÍA 27'!D4</f>
        <v>0</v>
      </c>
      <c r="F30" s="19">
        <f>'DÍA 27'!E4</f>
        <v>0</v>
      </c>
      <c r="G30" s="19">
        <f>'DÍA 27'!F4</f>
        <v>0</v>
      </c>
      <c r="H30" s="19">
        <f>'DÍA 27'!G4</f>
        <v>0</v>
      </c>
      <c r="I30" s="19">
        <f>'DÍA 27'!H4</f>
        <v>674</v>
      </c>
      <c r="J30" s="19">
        <f>'DÍA 27'!I4</f>
        <v>540</v>
      </c>
      <c r="K30" s="19">
        <f>'DÍA 27'!J4</f>
        <v>357760</v>
      </c>
      <c r="L30" s="19">
        <f>'DÍA 27'!K4</f>
        <v>675.01886792452831</v>
      </c>
    </row>
    <row r="31" spans="2:12" x14ac:dyDescent="0.2">
      <c r="B31" s="13">
        <v>28</v>
      </c>
      <c r="C31" s="10"/>
      <c r="D31" s="19">
        <f>'DÍA 28'!C4</f>
        <v>0</v>
      </c>
      <c r="E31" s="19">
        <f>'DÍA 28'!D4</f>
        <v>0</v>
      </c>
      <c r="F31" s="19">
        <f>'DÍA 28'!E4</f>
        <v>0</v>
      </c>
      <c r="G31" s="19">
        <f>'DÍA 28'!F4</f>
        <v>0</v>
      </c>
      <c r="H31" s="19">
        <f>'DÍA 28'!G4</f>
        <v>100</v>
      </c>
      <c r="I31" s="19">
        <f>'DÍA 28'!H4</f>
        <v>582</v>
      </c>
      <c r="J31" s="19">
        <f>'DÍA 28'!I4</f>
        <v>17000</v>
      </c>
      <c r="K31" s="19">
        <f>'DÍA 28'!J4</f>
        <v>378460</v>
      </c>
      <c r="L31" s="19">
        <f>'DÍA 28'!K4</f>
        <v>714.07547169811323</v>
      </c>
    </row>
    <row r="32" spans="2:12" x14ac:dyDescent="0.2">
      <c r="B32" s="13">
        <v>29</v>
      </c>
      <c r="C32" s="10"/>
      <c r="D32" s="19">
        <f>'DÍA 29'!C4</f>
        <v>0</v>
      </c>
      <c r="E32" s="19">
        <f>'DÍA 29'!D4</f>
        <v>0</v>
      </c>
      <c r="F32" s="19">
        <f>'DÍA 29'!E4</f>
        <v>0</v>
      </c>
      <c r="G32" s="19">
        <f>'DÍA 29'!F4</f>
        <v>0</v>
      </c>
      <c r="H32" s="19">
        <f>'DÍA 29'!G4</f>
        <v>0</v>
      </c>
      <c r="I32" s="19">
        <f>'DÍA 29'!H4</f>
        <v>161</v>
      </c>
      <c r="J32" s="19">
        <f>'DÍA 29'!I4</f>
        <v>0</v>
      </c>
      <c r="K32" s="19">
        <f>'DÍA 29'!J4</f>
        <v>85330</v>
      </c>
      <c r="L32" s="19">
        <f>'DÍA 29'!K4</f>
        <v>161</v>
      </c>
    </row>
    <row r="33" spans="2:13" x14ac:dyDescent="0.2">
      <c r="B33" s="13">
        <v>30</v>
      </c>
      <c r="C33" s="10"/>
      <c r="D33" s="97">
        <f>'DÍA 30'!C4</f>
        <v>149808</v>
      </c>
      <c r="E33" s="19">
        <f>'DÍA 30'!D4</f>
        <v>0</v>
      </c>
      <c r="F33" s="19">
        <f>'DÍA 30'!E4</f>
        <v>0</v>
      </c>
      <c r="G33" s="19">
        <f>'DÍA 30'!F4</f>
        <v>0</v>
      </c>
      <c r="H33" s="19">
        <f>'DÍA 30'!G4</f>
        <v>0</v>
      </c>
      <c r="I33" s="19">
        <f>'DÍA 30'!H4</f>
        <v>0</v>
      </c>
      <c r="J33" s="19">
        <f>'DÍA 30'!I4</f>
        <v>0</v>
      </c>
      <c r="K33" s="19">
        <f>'DÍA 30'!J4</f>
        <v>149808</v>
      </c>
      <c r="L33" s="19">
        <f>'DÍA 30'!K4</f>
        <v>281.06566604127579</v>
      </c>
    </row>
    <row r="34" spans="2:13" x14ac:dyDescent="0.2">
      <c r="B34" s="13" t="s">
        <v>5</v>
      </c>
      <c r="C34" s="13"/>
      <c r="D34" s="26">
        <f>+SUM(D4:D33)</f>
        <v>184233</v>
      </c>
      <c r="E34" s="26">
        <f t="shared" ref="E34:L34" si="0">+SUM(E4:E33)</f>
        <v>103450</v>
      </c>
      <c r="F34" s="26">
        <f t="shared" si="0"/>
        <v>51434</v>
      </c>
      <c r="G34" s="26">
        <f t="shared" si="0"/>
        <v>0</v>
      </c>
      <c r="H34" s="26">
        <f t="shared" si="0"/>
        <v>575</v>
      </c>
      <c r="I34" s="26">
        <f t="shared" si="0"/>
        <v>7087.34</v>
      </c>
      <c r="J34" s="26">
        <f t="shared" si="0"/>
        <v>683562</v>
      </c>
      <c r="K34" s="26">
        <f t="shared" si="0"/>
        <v>5029942.5999999996</v>
      </c>
      <c r="L34" s="26">
        <f t="shared" si="0"/>
        <v>9604.7390892218682</v>
      </c>
      <c r="M34" s="91"/>
    </row>
    <row r="36" spans="2:13" ht="16" thickBot="1" x14ac:dyDescent="0.25">
      <c r="C36" s="15" t="s">
        <v>95</v>
      </c>
      <c r="D36" s="19">
        <f t="shared" ref="D36:L36" si="1">+D34/30</f>
        <v>6141.1</v>
      </c>
      <c r="E36" s="19">
        <f t="shared" si="1"/>
        <v>3448.3333333333335</v>
      </c>
      <c r="F36" s="19">
        <f t="shared" si="1"/>
        <v>1714.4666666666667</v>
      </c>
      <c r="G36" s="19">
        <f t="shared" si="1"/>
        <v>0</v>
      </c>
      <c r="H36" s="19">
        <f t="shared" si="1"/>
        <v>19.166666666666668</v>
      </c>
      <c r="I36" s="19">
        <f t="shared" si="1"/>
        <v>236.24466666666666</v>
      </c>
      <c r="J36" s="19">
        <f t="shared" si="1"/>
        <v>22785.4</v>
      </c>
      <c r="K36" s="19">
        <f t="shared" si="1"/>
        <v>167664.75333333333</v>
      </c>
      <c r="L36" s="19">
        <f t="shared" si="1"/>
        <v>320.15796964072894</v>
      </c>
      <c r="M36" s="92"/>
    </row>
    <row r="37" spans="2:13" ht="16" thickBot="1" x14ac:dyDescent="0.25">
      <c r="D37" s="21">
        <v>2236</v>
      </c>
      <c r="E37" s="21">
        <v>4910</v>
      </c>
      <c r="F37" s="21">
        <v>4660</v>
      </c>
      <c r="G37" s="2" t="s">
        <v>1</v>
      </c>
      <c r="H37" s="23" t="s">
        <v>2</v>
      </c>
      <c r="I37" s="24" t="s">
        <v>3</v>
      </c>
      <c r="J37" s="24" t="s">
        <v>10</v>
      </c>
      <c r="K37" s="3" t="s">
        <v>5</v>
      </c>
      <c r="L37" s="2" t="s">
        <v>6</v>
      </c>
    </row>
  </sheetData>
  <mergeCells count="1">
    <mergeCell ref="D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AH17"/>
  <sheetViews>
    <sheetView topLeftCell="O1" workbookViewId="0">
      <selection activeCell="W17" sqref="W17"/>
    </sheetView>
  </sheetViews>
  <sheetFormatPr baseColWidth="10" defaultColWidth="11.33203125" defaultRowHeight="15" x14ac:dyDescent="0.2"/>
  <cols>
    <col min="2" max="2" width="14.6640625" customWidth="1"/>
    <col min="34" max="34" width="19.6640625" customWidth="1"/>
  </cols>
  <sheetData>
    <row r="5" spans="1:34" x14ac:dyDescent="0.2">
      <c r="C5" s="13" t="s">
        <v>96</v>
      </c>
      <c r="D5" s="13" t="s">
        <v>97</v>
      </c>
      <c r="E5" s="13" t="s">
        <v>98</v>
      </c>
      <c r="F5" s="13" t="s">
        <v>99</v>
      </c>
      <c r="G5" s="13" t="s">
        <v>100</v>
      </c>
      <c r="H5" s="13" t="s">
        <v>101</v>
      </c>
      <c r="I5" s="13" t="s">
        <v>102</v>
      </c>
      <c r="J5" s="13" t="s">
        <v>103</v>
      </c>
      <c r="K5" s="13" t="s">
        <v>104</v>
      </c>
      <c r="L5" s="13" t="s">
        <v>105</v>
      </c>
      <c r="M5" s="13" t="s">
        <v>106</v>
      </c>
      <c r="N5" s="13" t="s">
        <v>107</v>
      </c>
      <c r="O5" s="13" t="s">
        <v>108</v>
      </c>
      <c r="P5" s="13" t="s">
        <v>109</v>
      </c>
      <c r="Q5" s="13" t="s">
        <v>110</v>
      </c>
      <c r="R5" s="13" t="s">
        <v>111</v>
      </c>
      <c r="S5" s="13" t="s">
        <v>112</v>
      </c>
      <c r="T5" s="13" t="s">
        <v>113</v>
      </c>
      <c r="U5" s="13" t="s">
        <v>114</v>
      </c>
      <c r="V5" s="13" t="s">
        <v>115</v>
      </c>
      <c r="W5" s="13" t="s">
        <v>116</v>
      </c>
      <c r="X5" s="13" t="s">
        <v>117</v>
      </c>
      <c r="Y5" s="13" t="s">
        <v>118</v>
      </c>
      <c r="Z5" s="13" t="s">
        <v>119</v>
      </c>
      <c r="AA5" s="13" t="s">
        <v>120</v>
      </c>
      <c r="AB5" s="13" t="s">
        <v>121</v>
      </c>
      <c r="AC5" s="13" t="s">
        <v>122</v>
      </c>
      <c r="AD5" s="13" t="s">
        <v>123</v>
      </c>
      <c r="AE5" s="13" t="s">
        <v>124</v>
      </c>
      <c r="AF5" s="13" t="s">
        <v>125</v>
      </c>
      <c r="AG5" s="13" t="s">
        <v>126</v>
      </c>
      <c r="AH5" s="13" t="s">
        <v>127</v>
      </c>
    </row>
    <row r="6" spans="1:34" x14ac:dyDescent="0.2">
      <c r="A6" s="10"/>
      <c r="B6" s="10" t="s">
        <v>32</v>
      </c>
      <c r="C6" s="99">
        <f>'DÍA 1'!C34</f>
        <v>0</v>
      </c>
      <c r="D6" s="99">
        <f>'DÍA 2'!C34</f>
        <v>0</v>
      </c>
      <c r="E6" s="99">
        <f>'DÍA 3'!C34</f>
        <v>2000</v>
      </c>
      <c r="F6" s="99">
        <f>'DÍA 4'!C34</f>
        <v>0</v>
      </c>
      <c r="G6" s="99">
        <f>'DÍA 5'!C34</f>
        <v>0</v>
      </c>
      <c r="H6" s="99">
        <f>'DÍA 6'!C34</f>
        <v>6000</v>
      </c>
      <c r="I6" s="99">
        <f>'DÍA 7'!C34</f>
        <v>2000</v>
      </c>
      <c r="J6" s="99">
        <f>'DÍA 8'!C34</f>
        <v>0</v>
      </c>
      <c r="K6" s="99">
        <f>'DÍA 9'!C34</f>
        <v>0</v>
      </c>
      <c r="L6" s="99">
        <f>'DÍA 10'!C34</f>
        <v>0</v>
      </c>
      <c r="M6" s="99">
        <f>'DÍA 11'!C34</f>
        <v>2000</v>
      </c>
      <c r="N6" s="99">
        <f>'DÍA 12'!C34</f>
        <v>0</v>
      </c>
      <c r="O6" s="99">
        <f>'DÍA 13'!C34</f>
        <v>0</v>
      </c>
      <c r="P6" s="99">
        <f>'DÍA 14'!C34</f>
        <v>2000</v>
      </c>
      <c r="Q6" s="99">
        <f>'DÍA 15'!C34</f>
        <v>2000</v>
      </c>
      <c r="R6" s="99">
        <f>'DÍA 16'!C34</f>
        <v>0</v>
      </c>
      <c r="S6" s="99">
        <f>'DÍA 17'!C34</f>
        <v>0</v>
      </c>
      <c r="T6" s="99">
        <f>'DÍA 18'!C34</f>
        <v>2000</v>
      </c>
      <c r="U6" s="99">
        <f>'DÍA 19'!C34</f>
        <v>2000</v>
      </c>
      <c r="V6" s="99">
        <f>'DÍA 20'!C34</f>
        <v>0</v>
      </c>
      <c r="W6" s="99">
        <f>'DÍA 21'!C34</f>
        <v>2000</v>
      </c>
      <c r="X6" s="99">
        <f>'DÍA 22'!C34</f>
        <v>2000</v>
      </c>
      <c r="Y6" s="99">
        <f>'DÍA 23'!C34</f>
        <v>2000</v>
      </c>
      <c r="Z6" s="99">
        <f>'DÍA 24'!C34</f>
        <v>0</v>
      </c>
      <c r="AA6" s="99">
        <f>'DÍA 25'!C34</f>
        <v>0</v>
      </c>
      <c r="AB6" s="99">
        <f>'DÍA 26'!C34</f>
        <v>0</v>
      </c>
      <c r="AC6" s="99">
        <f>'DÍA 27'!C34</f>
        <v>2000</v>
      </c>
      <c r="AD6" s="99">
        <f>'DÍA 28'!C34</f>
        <v>2000</v>
      </c>
      <c r="AE6" s="99">
        <f>'DÍA 29'!C34</f>
        <v>2000</v>
      </c>
      <c r="AF6" s="99">
        <f>'DÍA 30'!C34</f>
        <v>0</v>
      </c>
      <c r="AG6" s="99">
        <f>'DÍA 30'!C34</f>
        <v>0</v>
      </c>
      <c r="AH6" s="99">
        <f>SUM(C6:AG6)</f>
        <v>32000</v>
      </c>
    </row>
    <row r="7" spans="1:34" x14ac:dyDescent="0.2">
      <c r="A7" s="10"/>
      <c r="B7" s="10" t="s">
        <v>33</v>
      </c>
      <c r="C7" s="99">
        <f>'DÍA 1'!C35</f>
        <v>2000</v>
      </c>
      <c r="D7" s="99">
        <f>'DÍA 2'!C35</f>
        <v>2000</v>
      </c>
      <c r="E7" s="99">
        <f>'DÍA 3'!C35</f>
        <v>0</v>
      </c>
      <c r="F7" s="99">
        <f>'DÍA 4'!C35</f>
        <v>0</v>
      </c>
      <c r="G7" s="99">
        <f>'DÍA 5'!C35</f>
        <v>0</v>
      </c>
      <c r="H7" s="99">
        <f>'DÍA 6'!C35</f>
        <v>2000</v>
      </c>
      <c r="I7" s="99">
        <f>'DÍA 7'!C35</f>
        <v>0</v>
      </c>
      <c r="J7" s="99">
        <f>'DÍA 8'!C35</f>
        <v>2000</v>
      </c>
      <c r="K7" s="99">
        <f>'DÍA 9'!C35</f>
        <v>0</v>
      </c>
      <c r="L7" s="99">
        <f>'DÍA 10'!C35</f>
        <v>0</v>
      </c>
      <c r="M7" s="99">
        <f>'DÍA 11'!C35</f>
        <v>1000</v>
      </c>
      <c r="N7" s="99">
        <f>'DÍA 12'!C35</f>
        <v>1000</v>
      </c>
      <c r="O7" s="99">
        <f>'DÍA 13'!C35</f>
        <v>0</v>
      </c>
      <c r="P7" s="99">
        <f>'DÍA 14'!C35</f>
        <v>0</v>
      </c>
      <c r="Q7" s="99">
        <f>'DÍA 15'!C35</f>
        <v>0</v>
      </c>
      <c r="R7" s="99">
        <f>'DÍA 16'!C35</f>
        <v>0</v>
      </c>
      <c r="S7" s="99">
        <f>'DÍA 17'!C35</f>
        <v>0</v>
      </c>
      <c r="T7" s="99">
        <f>'DÍA 18'!C35</f>
        <v>0</v>
      </c>
      <c r="U7" s="99">
        <f>'DÍA 19'!C35</f>
        <v>0</v>
      </c>
      <c r="V7" s="99">
        <f>'DÍA 20'!C35</f>
        <v>2000</v>
      </c>
      <c r="W7" s="99">
        <f>'DÍA 21'!C35</f>
        <v>0</v>
      </c>
      <c r="X7" s="99">
        <f>'DÍA 22'!C35</f>
        <v>0</v>
      </c>
      <c r="Y7" s="99">
        <f>'DÍA 23'!C35</f>
        <v>0</v>
      </c>
      <c r="Z7" s="99">
        <f>'DÍA 24'!C35</f>
        <v>2000</v>
      </c>
      <c r="AA7" s="99">
        <f>'DÍA 25'!C35</f>
        <v>0</v>
      </c>
      <c r="AB7" s="99">
        <f>'DÍA 26'!C35</f>
        <v>2000</v>
      </c>
      <c r="AC7" s="99">
        <f>'DÍA 27'!C35</f>
        <v>0</v>
      </c>
      <c r="AD7" s="99">
        <f>'DÍA 28'!C35</f>
        <v>0</v>
      </c>
      <c r="AE7" s="99">
        <f>'DÍA 29'!C35</f>
        <v>0</v>
      </c>
      <c r="AF7" s="99">
        <f>'DÍA 30'!C35</f>
        <v>0</v>
      </c>
      <c r="AG7" s="99">
        <f>'DÍA 30'!C35</f>
        <v>0</v>
      </c>
      <c r="AH7" s="99">
        <f t="shared" ref="AH7:AH14" si="0">SUM(C7:AG7)</f>
        <v>16000</v>
      </c>
    </row>
    <row r="8" spans="1:34" x14ac:dyDescent="0.2">
      <c r="A8" s="10"/>
      <c r="B8" s="10" t="s">
        <v>34</v>
      </c>
      <c r="C8" s="99">
        <f>'DÍA 1'!C36</f>
        <v>0</v>
      </c>
      <c r="D8" s="99">
        <f>'DÍA 2'!C36</f>
        <v>0</v>
      </c>
      <c r="E8" s="99">
        <f>'DÍA 3'!C36</f>
        <v>0</v>
      </c>
      <c r="F8" s="99">
        <f>'DÍA 4'!C36</f>
        <v>0</v>
      </c>
      <c r="G8" s="99">
        <f>'DÍA 5'!C36</f>
        <v>0</v>
      </c>
      <c r="H8" s="99">
        <f>'DÍA 6'!C36</f>
        <v>0</v>
      </c>
      <c r="I8" s="99">
        <f>'DÍA 7'!C36</f>
        <v>0</v>
      </c>
      <c r="J8" s="99">
        <f>'DÍA 8'!C36</f>
        <v>0</v>
      </c>
      <c r="K8" s="99">
        <f>'DÍA 9'!C36</f>
        <v>0</v>
      </c>
      <c r="L8" s="99">
        <f>'DÍA 10'!C36</f>
        <v>0</v>
      </c>
      <c r="M8" s="99">
        <f>'DÍA 11'!C36</f>
        <v>0</v>
      </c>
      <c r="N8" s="99">
        <f>'DÍA 12'!C36</f>
        <v>0</v>
      </c>
      <c r="O8" s="99">
        <f>'DÍA 13'!C36</f>
        <v>0</v>
      </c>
      <c r="P8" s="99">
        <f>'DÍA 14'!C36</f>
        <v>0</v>
      </c>
      <c r="Q8" s="99">
        <f>'DÍA 15'!C36</f>
        <v>0</v>
      </c>
      <c r="R8" s="99">
        <f>'DÍA 16'!C36</f>
        <v>0</v>
      </c>
      <c r="S8" s="99">
        <f>'DÍA 17'!C36</f>
        <v>0</v>
      </c>
      <c r="T8" s="99">
        <f>'DÍA 18'!C36</f>
        <v>0</v>
      </c>
      <c r="U8" s="99">
        <f>'DÍA 19'!C36</f>
        <v>0</v>
      </c>
      <c r="V8" s="99">
        <f>'DÍA 20'!C36</f>
        <v>0</v>
      </c>
      <c r="W8" s="99">
        <f>'DÍA 21'!C36</f>
        <v>0</v>
      </c>
      <c r="X8" s="99">
        <f>'DÍA 22'!C36</f>
        <v>0</v>
      </c>
      <c r="Y8" s="99">
        <f>'DÍA 23'!C36</f>
        <v>0</v>
      </c>
      <c r="Z8" s="99">
        <f>'DÍA 24'!C36</f>
        <v>0</v>
      </c>
      <c r="AA8" s="99">
        <f>'DÍA 25'!C36</f>
        <v>0</v>
      </c>
      <c r="AB8" s="99">
        <f>'DÍA 26'!C36</f>
        <v>0</v>
      </c>
      <c r="AC8" s="99">
        <f>'DÍA 27'!C36</f>
        <v>0</v>
      </c>
      <c r="AD8" s="99">
        <f>'DÍA 28'!C36</f>
        <v>0</v>
      </c>
      <c r="AE8" s="99">
        <f>'DÍA 29'!C36</f>
        <v>0</v>
      </c>
      <c r="AF8" s="99">
        <f>'DÍA 30'!C36</f>
        <v>0</v>
      </c>
      <c r="AG8" s="99">
        <f>'DÍA 30'!C36</f>
        <v>0</v>
      </c>
      <c r="AH8" s="99">
        <f t="shared" si="0"/>
        <v>0</v>
      </c>
    </row>
    <row r="9" spans="1:34" x14ac:dyDescent="0.2">
      <c r="A9" s="10"/>
      <c r="B9" s="10" t="s">
        <v>35</v>
      </c>
      <c r="C9" s="99">
        <f>'DÍA 1'!C37</f>
        <v>0</v>
      </c>
      <c r="D9" s="99">
        <f>'DÍA 2'!C37</f>
        <v>0</v>
      </c>
      <c r="E9" s="99">
        <f>'DÍA 3'!C37</f>
        <v>0</v>
      </c>
      <c r="F9" s="99">
        <f>'DÍA 4'!C37</f>
        <v>0</v>
      </c>
      <c r="G9" s="99">
        <f>'DÍA 5'!C37</f>
        <v>0</v>
      </c>
      <c r="H9" s="99">
        <f>'DÍA 6'!C37</f>
        <v>0</v>
      </c>
      <c r="I9" s="99">
        <f>'DÍA 7'!C37</f>
        <v>0</v>
      </c>
      <c r="J9" s="99">
        <f>'DÍA 8'!C37</f>
        <v>0</v>
      </c>
      <c r="K9" s="99">
        <f>'DÍA 9'!C37</f>
        <v>0</v>
      </c>
      <c r="L9" s="99">
        <f>'DÍA 10'!C37</f>
        <v>0</v>
      </c>
      <c r="M9" s="99">
        <f>'DÍA 11'!C37</f>
        <v>0</v>
      </c>
      <c r="N9" s="99">
        <f>'DÍA 12'!C37</f>
        <v>0</v>
      </c>
      <c r="O9" s="99">
        <f>'DÍA 13'!C37</f>
        <v>0</v>
      </c>
      <c r="P9" s="99">
        <f>'DÍA 14'!C37</f>
        <v>0</v>
      </c>
      <c r="Q9" s="99">
        <f>'DÍA 15'!C37</f>
        <v>0</v>
      </c>
      <c r="R9" s="99">
        <f>'DÍA 16'!C37</f>
        <v>0</v>
      </c>
      <c r="S9" s="99">
        <f>'DÍA 17'!C37</f>
        <v>0</v>
      </c>
      <c r="T9" s="99">
        <f>'DÍA 18'!C37</f>
        <v>0</v>
      </c>
      <c r="U9" s="99">
        <f>'DÍA 19'!C37</f>
        <v>0</v>
      </c>
      <c r="V9" s="99">
        <f>'DÍA 20'!C37</f>
        <v>0</v>
      </c>
      <c r="W9" s="99">
        <f>'DÍA 21'!C37</f>
        <v>0</v>
      </c>
      <c r="X9" s="99">
        <f>'DÍA 22'!C37</f>
        <v>0</v>
      </c>
      <c r="Y9" s="99">
        <f>'DÍA 23'!C37</f>
        <v>0</v>
      </c>
      <c r="Z9" s="99">
        <f>'DÍA 24'!C37</f>
        <v>0</v>
      </c>
      <c r="AA9" s="99">
        <f>'DÍA 25'!C37</f>
        <v>0</v>
      </c>
      <c r="AB9" s="99">
        <f>'DÍA 26'!C37</f>
        <v>0</v>
      </c>
      <c r="AC9" s="99">
        <f>'DÍA 27'!C37</f>
        <v>0</v>
      </c>
      <c r="AD9" s="99">
        <f>'DÍA 28'!C37</f>
        <v>0</v>
      </c>
      <c r="AE9" s="99">
        <f>'DÍA 29'!C37</f>
        <v>0</v>
      </c>
      <c r="AF9" s="99">
        <f>'DÍA 30'!C37</f>
        <v>0</v>
      </c>
      <c r="AG9" s="99">
        <f>'DÍA 30'!C37</f>
        <v>0</v>
      </c>
      <c r="AH9" s="99">
        <f t="shared" si="0"/>
        <v>0</v>
      </c>
    </row>
    <row r="10" spans="1:34" x14ac:dyDescent="0.2">
      <c r="A10" s="10"/>
      <c r="B10" s="10" t="s">
        <v>36</v>
      </c>
      <c r="C10" s="99">
        <f>'DÍA 1'!C38</f>
        <v>0</v>
      </c>
      <c r="D10" s="99">
        <f>'DÍA 2'!C38</f>
        <v>2000</v>
      </c>
      <c r="E10" s="99">
        <f>'DÍA 3'!C38</f>
        <v>2000</v>
      </c>
      <c r="F10" s="99">
        <f>'DÍA 4'!C38</f>
        <v>2000</v>
      </c>
      <c r="G10" s="99">
        <f>'DÍA 5'!C38</f>
        <v>0</v>
      </c>
      <c r="H10" s="99">
        <f>'DÍA 6'!C38</f>
        <v>0</v>
      </c>
      <c r="I10" s="99">
        <f>'DÍA 7'!C38</f>
        <v>0</v>
      </c>
      <c r="J10" s="99">
        <f>'DÍA 8'!C38</f>
        <v>4000</v>
      </c>
      <c r="K10" s="99">
        <f>'DÍA 9'!C38</f>
        <v>2000</v>
      </c>
      <c r="L10" s="99">
        <f>'DÍA 10'!C38</f>
        <v>2000</v>
      </c>
      <c r="M10" s="99">
        <f>'DÍA 11'!C38</f>
        <v>2000</v>
      </c>
      <c r="N10" s="99">
        <f>'DÍA 12'!C38</f>
        <v>0</v>
      </c>
      <c r="O10" s="99">
        <f>'DÍA 13'!C38</f>
        <v>2000</v>
      </c>
      <c r="P10" s="99">
        <f>'DÍA 14'!C38</f>
        <v>2000</v>
      </c>
      <c r="Q10" s="99">
        <f>'DÍA 15'!C38</f>
        <v>2000</v>
      </c>
      <c r="R10" s="99">
        <f>'DÍA 16'!C38</f>
        <v>2000</v>
      </c>
      <c r="S10" s="99">
        <f>'DÍA 17'!C38</f>
        <v>2000</v>
      </c>
      <c r="T10" s="99">
        <f>'DÍA 18'!C38</f>
        <v>0</v>
      </c>
      <c r="U10" s="99">
        <f>'DÍA 19'!C38</f>
        <v>2000</v>
      </c>
      <c r="V10" s="99">
        <f>'DÍA 20'!C38</f>
        <v>0</v>
      </c>
      <c r="W10" s="99">
        <f>'DÍA 21'!C38</f>
        <v>2000</v>
      </c>
      <c r="X10" s="99">
        <f>'DÍA 22'!C38</f>
        <v>2000</v>
      </c>
      <c r="Y10" s="99">
        <f>'DÍA 23'!C38</f>
        <v>2000</v>
      </c>
      <c r="Z10" s="99">
        <f>'DÍA 24'!C38</f>
        <v>0</v>
      </c>
      <c r="AA10" s="99">
        <f>'DÍA 25'!C38</f>
        <v>2000</v>
      </c>
      <c r="AB10" s="99">
        <f>'DÍA 26'!C38</f>
        <v>2000</v>
      </c>
      <c r="AC10" s="99">
        <f>'DÍA 27'!C38</f>
        <v>0</v>
      </c>
      <c r="AD10" s="99">
        <f>'DÍA 28'!C38</f>
        <v>2000</v>
      </c>
      <c r="AE10" s="99">
        <f>'DÍA 29'!C38</f>
        <v>2000</v>
      </c>
      <c r="AF10" s="99">
        <f>'DÍA 30'!C38</f>
        <v>2000</v>
      </c>
      <c r="AG10" s="99">
        <f>'DÍA 30'!C38</f>
        <v>2000</v>
      </c>
      <c r="AH10" s="99">
        <f t="shared" si="0"/>
        <v>46000</v>
      </c>
    </row>
    <row r="11" spans="1:34" x14ac:dyDescent="0.2">
      <c r="A11" s="10"/>
      <c r="B11" s="10" t="s">
        <v>37</v>
      </c>
      <c r="C11" s="99">
        <f>'DÍA 1'!C39</f>
        <v>0</v>
      </c>
      <c r="D11" s="99">
        <f>'DÍA 2'!C39</f>
        <v>0</v>
      </c>
      <c r="E11" s="99">
        <f>'DÍA 3'!C39</f>
        <v>0</v>
      </c>
      <c r="F11" s="99">
        <f>'DÍA 4'!C39</f>
        <v>0</v>
      </c>
      <c r="G11" s="99">
        <f>'DÍA 5'!C39</f>
        <v>0</v>
      </c>
      <c r="H11" s="99">
        <f>'DÍA 6'!C39</f>
        <v>0</v>
      </c>
      <c r="I11" s="99">
        <f>'DÍA 7'!C39</f>
        <v>0</v>
      </c>
      <c r="J11" s="99">
        <f>'DÍA 8'!C39</f>
        <v>0</v>
      </c>
      <c r="K11" s="99">
        <f>'DÍA 9'!C39</f>
        <v>0</v>
      </c>
      <c r="L11" s="99">
        <f>'DÍA 10'!C39</f>
        <v>0</v>
      </c>
      <c r="M11" s="99">
        <f>'DÍA 11'!C39</f>
        <v>0</v>
      </c>
      <c r="N11" s="99">
        <f>'DÍA 12'!C39</f>
        <v>0</v>
      </c>
      <c r="O11" s="99">
        <f>'DÍA 13'!C39</f>
        <v>0</v>
      </c>
      <c r="P11" s="99">
        <f>'DÍA 14'!C39</f>
        <v>0</v>
      </c>
      <c r="Q11" s="99">
        <f>'DÍA 15'!C39</f>
        <v>0</v>
      </c>
      <c r="R11" s="99">
        <f>'DÍA 16'!C39</f>
        <v>0</v>
      </c>
      <c r="S11" s="99">
        <f>'DÍA 17'!C39</f>
        <v>5250</v>
      </c>
      <c r="T11" s="99">
        <f>'DÍA 18'!C39</f>
        <v>0</v>
      </c>
      <c r="U11" s="99">
        <f>'DÍA 19'!C39</f>
        <v>0</v>
      </c>
      <c r="V11" s="99">
        <f>'DÍA 20'!C39</f>
        <v>0</v>
      </c>
      <c r="W11" s="99">
        <f>'DÍA 21'!C39</f>
        <v>0</v>
      </c>
      <c r="X11" s="99">
        <f>'DÍA 22'!C39</f>
        <v>0</v>
      </c>
      <c r="Y11" s="99">
        <f>'DÍA 23'!C39</f>
        <v>0</v>
      </c>
      <c r="Z11" s="99">
        <f>'DÍA 24'!C39</f>
        <v>0</v>
      </c>
      <c r="AA11" s="99">
        <f>'DÍA 25'!C39</f>
        <v>0</v>
      </c>
      <c r="AB11" s="99">
        <f>'DÍA 26'!C39</f>
        <v>0</v>
      </c>
      <c r="AC11" s="99">
        <f>'DÍA 27'!C39</f>
        <v>0</v>
      </c>
      <c r="AD11" s="99">
        <f>'DÍA 28'!C39</f>
        <v>0</v>
      </c>
      <c r="AE11" s="99">
        <f>'DÍA 29'!C39</f>
        <v>0</v>
      </c>
      <c r="AF11" s="99">
        <f>'DÍA 30'!C39</f>
        <v>0</v>
      </c>
      <c r="AG11" s="99">
        <f>'DÍA 30'!C39</f>
        <v>0</v>
      </c>
      <c r="AH11" s="99">
        <f t="shared" si="0"/>
        <v>5250</v>
      </c>
    </row>
    <row r="12" spans="1:34" x14ac:dyDescent="0.2">
      <c r="A12" s="10"/>
      <c r="B12" s="10" t="s">
        <v>38</v>
      </c>
      <c r="C12" s="99">
        <f>'DÍA 1'!C40</f>
        <v>0</v>
      </c>
      <c r="D12" s="99">
        <f>'DÍA 2'!C40</f>
        <v>0</v>
      </c>
      <c r="E12" s="99">
        <f>'DÍA 3'!C40</f>
        <v>0</v>
      </c>
      <c r="F12" s="99">
        <f>'DÍA 4'!C40</f>
        <v>0</v>
      </c>
      <c r="G12" s="99">
        <f>'DÍA 5'!C40</f>
        <v>0</v>
      </c>
      <c r="H12" s="99">
        <f>'DÍA 6'!C40</f>
        <v>0</v>
      </c>
      <c r="I12" s="99">
        <f>'DÍA 7'!C40</f>
        <v>0</v>
      </c>
      <c r="J12" s="99">
        <f>'DÍA 8'!C40</f>
        <v>0</v>
      </c>
      <c r="K12" s="99">
        <f>'DÍA 9'!C40</f>
        <v>0</v>
      </c>
      <c r="L12" s="99">
        <f>'DÍA 10'!C40</f>
        <v>0</v>
      </c>
      <c r="M12" s="99">
        <f>'DÍA 11'!C40</f>
        <v>0</v>
      </c>
      <c r="N12" s="99">
        <f>'DÍA 12'!C40</f>
        <v>0</v>
      </c>
      <c r="O12" s="99">
        <f>'DÍA 13'!C40</f>
        <v>0</v>
      </c>
      <c r="P12" s="99">
        <f>'DÍA 14'!C40</f>
        <v>0</v>
      </c>
      <c r="Q12" s="99">
        <f>'DÍA 15'!C40</f>
        <v>0</v>
      </c>
      <c r="R12" s="99">
        <f>'DÍA 16'!C40</f>
        <v>0</v>
      </c>
      <c r="S12" s="99">
        <f>'DÍA 17'!C40</f>
        <v>0</v>
      </c>
      <c r="T12" s="99">
        <f>'DÍA 18'!C40</f>
        <v>0</v>
      </c>
      <c r="U12" s="99">
        <f>'DÍA 19'!C40</f>
        <v>0</v>
      </c>
      <c r="V12" s="99">
        <f>'DÍA 20'!C40</f>
        <v>0</v>
      </c>
      <c r="W12" s="99">
        <f>'DÍA 21'!C40</f>
        <v>0</v>
      </c>
      <c r="X12" s="99">
        <f>'DÍA 22'!C40</f>
        <v>0</v>
      </c>
      <c r="Y12" s="99">
        <f>'DÍA 23'!C40</f>
        <v>0</v>
      </c>
      <c r="Z12" s="99">
        <f>'DÍA 24'!C40</f>
        <v>0</v>
      </c>
      <c r="AA12" s="99">
        <f>'DÍA 25'!C40</f>
        <v>0</v>
      </c>
      <c r="AB12" s="99">
        <f>'DÍA 26'!C40</f>
        <v>0</v>
      </c>
      <c r="AC12" s="99">
        <f>'DÍA 27'!C40</f>
        <v>0</v>
      </c>
      <c r="AD12" s="99">
        <f>'DÍA 28'!C40</f>
        <v>0</v>
      </c>
      <c r="AE12" s="99">
        <f>'DÍA 29'!C40</f>
        <v>0</v>
      </c>
      <c r="AF12" s="99">
        <f>'DÍA 30'!C40</f>
        <v>0</v>
      </c>
      <c r="AG12" s="99">
        <f>'DÍA 30'!C40</f>
        <v>0</v>
      </c>
      <c r="AH12" s="99">
        <f t="shared" si="0"/>
        <v>0</v>
      </c>
    </row>
    <row r="13" spans="1:34" x14ac:dyDescent="0.2">
      <c r="A13" s="10"/>
      <c r="B13" s="10" t="s">
        <v>39</v>
      </c>
      <c r="C13" s="99">
        <f>'DÍA 1'!C41</f>
        <v>0</v>
      </c>
      <c r="D13" s="99">
        <f>'DÍA 2'!C41</f>
        <v>0</v>
      </c>
      <c r="E13" s="99">
        <f>'DÍA 3'!C41</f>
        <v>0</v>
      </c>
      <c r="F13" s="99">
        <f>'DÍA 4'!C41</f>
        <v>0</v>
      </c>
      <c r="G13" s="99">
        <f>'DÍA 5'!C41</f>
        <v>0</v>
      </c>
      <c r="H13" s="99">
        <f>'DÍA 6'!C41</f>
        <v>0</v>
      </c>
      <c r="I13" s="99">
        <f>'DÍA 7'!C41</f>
        <v>0</v>
      </c>
      <c r="J13" s="99">
        <f>'DÍA 8'!C41</f>
        <v>0</v>
      </c>
      <c r="K13" s="99">
        <f>'DÍA 9'!C41</f>
        <v>0</v>
      </c>
      <c r="L13" s="99">
        <f>'DÍA 10'!C41</f>
        <v>0</v>
      </c>
      <c r="M13" s="99">
        <f>'DÍA 11'!C41</f>
        <v>0</v>
      </c>
      <c r="N13" s="99">
        <f>'DÍA 12'!C41</f>
        <v>0</v>
      </c>
      <c r="O13" s="99">
        <f>'DÍA 13'!C41</f>
        <v>0</v>
      </c>
      <c r="P13" s="99">
        <f>'DÍA 14'!C41</f>
        <v>0</v>
      </c>
      <c r="Q13" s="99">
        <f>'DÍA 15'!C41</f>
        <v>0</v>
      </c>
      <c r="R13" s="99">
        <f>'DÍA 16'!C41</f>
        <v>0</v>
      </c>
      <c r="S13" s="99">
        <f>'DÍA 17'!C41</f>
        <v>0</v>
      </c>
      <c r="T13" s="99">
        <f>'DÍA 18'!C41</f>
        <v>0</v>
      </c>
      <c r="U13" s="99">
        <f>'DÍA 19'!C41</f>
        <v>0</v>
      </c>
      <c r="V13" s="99">
        <f>'DÍA 20'!C41</f>
        <v>0</v>
      </c>
      <c r="W13" s="99">
        <f>'DÍA 21'!C41</f>
        <v>0</v>
      </c>
      <c r="X13" s="99">
        <f>'DÍA 22'!C41</f>
        <v>0</v>
      </c>
      <c r="Y13" s="99">
        <f>'DÍA 23'!C41</f>
        <v>0</v>
      </c>
      <c r="Z13" s="99">
        <f>'DÍA 24'!C41</f>
        <v>0</v>
      </c>
      <c r="AA13" s="99">
        <f>'DÍA 25'!C41</f>
        <v>0</v>
      </c>
      <c r="AB13" s="99">
        <f>'DÍA 26'!C41</f>
        <v>0</v>
      </c>
      <c r="AC13" s="99">
        <f>'DÍA 27'!C41</f>
        <v>0</v>
      </c>
      <c r="AD13" s="99">
        <f>'DÍA 28'!C41</f>
        <v>0</v>
      </c>
      <c r="AE13" s="99">
        <f>'DÍA 29'!C41</f>
        <v>0</v>
      </c>
      <c r="AF13" s="99">
        <f>'DÍA 30'!C41</f>
        <v>0</v>
      </c>
      <c r="AG13" s="99">
        <f>'DÍA 30'!C41</f>
        <v>0</v>
      </c>
      <c r="AH13" s="99">
        <f t="shared" si="0"/>
        <v>0</v>
      </c>
    </row>
    <row r="14" spans="1:34" x14ac:dyDescent="0.2">
      <c r="C14" s="99">
        <f>'DÍA 1'!C42</f>
        <v>0</v>
      </c>
      <c r="D14" s="99">
        <f>'DÍA 2'!C42</f>
        <v>0</v>
      </c>
      <c r="E14" s="99">
        <f>'DÍA 3'!C42</f>
        <v>0</v>
      </c>
      <c r="F14" s="99">
        <f>'DÍA 4'!C42</f>
        <v>0</v>
      </c>
      <c r="G14" s="99">
        <f>'DÍA 5'!C42</f>
        <v>0</v>
      </c>
      <c r="H14" s="99">
        <f>'DÍA 6'!C42</f>
        <v>0</v>
      </c>
      <c r="I14" s="99">
        <f>'DÍA 7'!C42</f>
        <v>0</v>
      </c>
      <c r="J14" s="99">
        <f>'DÍA 8'!C42</f>
        <v>0</v>
      </c>
      <c r="K14" s="99">
        <f>'DÍA 9'!C42</f>
        <v>0</v>
      </c>
      <c r="L14" s="99">
        <f>'DÍA 10'!C42</f>
        <v>0</v>
      </c>
      <c r="M14" s="99">
        <f>'DÍA 11'!C42</f>
        <v>0</v>
      </c>
      <c r="N14" s="99">
        <f>'DÍA 12'!C42</f>
        <v>0</v>
      </c>
      <c r="O14" s="99">
        <f>'DÍA 13'!C42</f>
        <v>0</v>
      </c>
      <c r="P14" s="99">
        <f>'DÍA 14'!C42</f>
        <v>0</v>
      </c>
      <c r="Q14" s="99">
        <f>'DÍA 15'!C42</f>
        <v>0</v>
      </c>
      <c r="R14" s="99">
        <f>'DÍA 16'!C42</f>
        <v>0</v>
      </c>
      <c r="S14" s="99">
        <f>'DÍA 17'!C42</f>
        <v>0</v>
      </c>
      <c r="T14" s="99">
        <f>'DÍA 18'!C42</f>
        <v>0</v>
      </c>
      <c r="U14" s="99">
        <f>'DÍA 19'!C42</f>
        <v>0</v>
      </c>
      <c r="V14" s="99">
        <f>'DÍA 20'!C42</f>
        <v>0</v>
      </c>
      <c r="W14" s="99">
        <f>'DÍA 21'!C42</f>
        <v>0</v>
      </c>
      <c r="X14" s="99">
        <f>'DÍA 22'!C42</f>
        <v>0</v>
      </c>
      <c r="Y14" s="99">
        <f>'DÍA 23'!C42</f>
        <v>0</v>
      </c>
      <c r="Z14" s="99">
        <f>'DÍA 24'!C42</f>
        <v>0</v>
      </c>
      <c r="AA14" s="99">
        <f>'DÍA 25'!C42</f>
        <v>0</v>
      </c>
      <c r="AB14" s="99">
        <f>'DÍA 26'!C42</f>
        <v>0</v>
      </c>
      <c r="AC14" s="99">
        <f>'DÍA 27'!C42</f>
        <v>0</v>
      </c>
      <c r="AD14" s="99">
        <f>'DÍA 28'!C42</f>
        <v>0</v>
      </c>
      <c r="AE14" s="99">
        <f>'DÍA 29'!C42</f>
        <v>0</v>
      </c>
      <c r="AF14" s="99">
        <f>'DÍA 30'!C42</f>
        <v>0</v>
      </c>
      <c r="AG14" s="99">
        <f>'DÍA 30'!C42</f>
        <v>0</v>
      </c>
      <c r="AH14" s="99">
        <f t="shared" si="0"/>
        <v>0</v>
      </c>
    </row>
    <row r="15" spans="1:34" x14ac:dyDescent="0.2">
      <c r="C15" s="99">
        <f>SUM(C6:C14)</f>
        <v>2000</v>
      </c>
      <c r="D15" s="99">
        <f t="shared" ref="D15:H15" si="1">SUM(D6:D14)</f>
        <v>4000</v>
      </c>
      <c r="E15" s="99">
        <f t="shared" si="1"/>
        <v>4000</v>
      </c>
      <c r="F15" s="99">
        <f>SUM(F6:F14)</f>
        <v>2000</v>
      </c>
      <c r="G15" s="99">
        <f t="shared" si="1"/>
        <v>0</v>
      </c>
      <c r="H15" s="99">
        <f t="shared" si="1"/>
        <v>8000</v>
      </c>
      <c r="I15" s="99">
        <f>SUM(I6:I14)</f>
        <v>2000</v>
      </c>
      <c r="J15" s="99">
        <f t="shared" ref="J15:AG15" si="2">SUM(J6:J14)</f>
        <v>6000</v>
      </c>
      <c r="K15" s="99">
        <f t="shared" si="2"/>
        <v>2000</v>
      </c>
      <c r="L15" s="99">
        <f t="shared" si="2"/>
        <v>2000</v>
      </c>
      <c r="M15" s="99">
        <f t="shared" si="2"/>
        <v>5000</v>
      </c>
      <c r="N15" s="99">
        <f t="shared" si="2"/>
        <v>1000</v>
      </c>
      <c r="O15" s="99">
        <f t="shared" si="2"/>
        <v>2000</v>
      </c>
      <c r="P15" s="99">
        <f t="shared" si="2"/>
        <v>4000</v>
      </c>
      <c r="Q15" s="99">
        <f t="shared" si="2"/>
        <v>4000</v>
      </c>
      <c r="R15" s="99">
        <f t="shared" si="2"/>
        <v>2000</v>
      </c>
      <c r="S15" s="99">
        <f t="shared" si="2"/>
        <v>7250</v>
      </c>
      <c r="T15" s="99">
        <f t="shared" si="2"/>
        <v>2000</v>
      </c>
      <c r="U15" s="99">
        <f t="shared" si="2"/>
        <v>4000</v>
      </c>
      <c r="V15" s="99">
        <f t="shared" si="2"/>
        <v>2000</v>
      </c>
      <c r="W15" s="99">
        <f t="shared" si="2"/>
        <v>4000</v>
      </c>
      <c r="X15" s="99">
        <f t="shared" si="2"/>
        <v>4000</v>
      </c>
      <c r="Y15" s="99">
        <f t="shared" si="2"/>
        <v>4000</v>
      </c>
      <c r="Z15" s="99">
        <f t="shared" si="2"/>
        <v>2000</v>
      </c>
      <c r="AA15" s="99">
        <f t="shared" si="2"/>
        <v>2000</v>
      </c>
      <c r="AB15" s="99">
        <f t="shared" si="2"/>
        <v>4000</v>
      </c>
      <c r="AC15" s="99">
        <f t="shared" si="2"/>
        <v>2000</v>
      </c>
      <c r="AD15" s="99">
        <f t="shared" si="2"/>
        <v>4000</v>
      </c>
      <c r="AE15" s="99">
        <f t="shared" si="2"/>
        <v>4000</v>
      </c>
      <c r="AF15" s="99">
        <f t="shared" si="2"/>
        <v>2000</v>
      </c>
      <c r="AG15" s="99">
        <f t="shared" si="2"/>
        <v>2000</v>
      </c>
      <c r="AH15" s="99">
        <f>SUM(C15:AG15)</f>
        <v>99250</v>
      </c>
    </row>
    <row r="17" spans="2:34" x14ac:dyDescent="0.2">
      <c r="B17" s="100">
        <v>0.02</v>
      </c>
      <c r="C17" s="99">
        <f>'DÍA 1'!F43</f>
        <v>15</v>
      </c>
      <c r="D17" s="99">
        <f>'DÍA 2'!F43</f>
        <v>8</v>
      </c>
      <c r="E17" s="99">
        <f>'DÍA 3'!F43</f>
        <v>15</v>
      </c>
      <c r="F17" s="99">
        <f>'DÍA 4'!F43</f>
        <v>5</v>
      </c>
      <c r="G17" s="99">
        <f>'DÍA 5'!F43</f>
        <v>12</v>
      </c>
      <c r="H17" s="99">
        <f>'DÍA 6'!F43</f>
        <v>2</v>
      </c>
      <c r="I17" s="99">
        <f>'DÍA 7'!F43</f>
        <v>1</v>
      </c>
      <c r="J17" s="99">
        <f>'DÍA 8'!F43</f>
        <v>4</v>
      </c>
      <c r="K17" s="99">
        <f>'DÍA 9'!F43</f>
        <v>3</v>
      </c>
      <c r="L17" s="99">
        <f>'DÍA 10'!F43</f>
        <v>4</v>
      </c>
      <c r="M17" s="99">
        <f>'DÍA 11'!F43</f>
        <v>6</v>
      </c>
      <c r="N17" s="99">
        <f>'DÍA 12'!F43</f>
        <v>10</v>
      </c>
      <c r="O17" s="99">
        <f>'DÍA 13'!F43</f>
        <v>5</v>
      </c>
      <c r="P17" s="99">
        <f>'DÍA 14'!F43</f>
        <v>3</v>
      </c>
      <c r="Q17" s="99">
        <f>'DÍA 15'!E43</f>
        <v>6</v>
      </c>
      <c r="R17" s="99">
        <f>'DÍA 16'!E43</f>
        <v>6</v>
      </c>
      <c r="S17" s="99">
        <f>'DÍA 17'!E43</f>
        <v>10</v>
      </c>
      <c r="T17" s="99">
        <f>'DÍA 18'!E43</f>
        <v>17</v>
      </c>
      <c r="U17" s="99">
        <f>'DÍA 19'!E43</f>
        <v>6</v>
      </c>
      <c r="V17" s="99">
        <f>'DÍA 20'!E43</f>
        <v>2</v>
      </c>
      <c r="W17" s="102">
        <f>'DÍA 21'!E42</f>
        <v>0</v>
      </c>
      <c r="X17" s="99">
        <f>'DÍA 22'!E43</f>
        <v>3</v>
      </c>
      <c r="Y17" s="99">
        <f>'DÍA 23'!E43</f>
        <v>3</v>
      </c>
      <c r="Z17" s="99">
        <f>'DÍA 24'!E43</f>
        <v>3</v>
      </c>
      <c r="AA17" s="99">
        <f>'DÍA 25'!E43</f>
        <v>13</v>
      </c>
      <c r="AB17" s="99">
        <f>'DÍA 26'!E43</f>
        <v>1</v>
      </c>
      <c r="AC17" s="99">
        <f>'DÍA 27'!E43</f>
        <v>14</v>
      </c>
      <c r="AD17" s="99">
        <f>'DÍA 28'!E43</f>
        <v>15</v>
      </c>
      <c r="AE17" s="99">
        <f>'DÍA 29'!E43</f>
        <v>4</v>
      </c>
      <c r="AF17" s="99">
        <f>'DÍA 30'!E43</f>
        <v>6</v>
      </c>
      <c r="AG17" s="99">
        <f>'DÍA 30'!E43</f>
        <v>6</v>
      </c>
      <c r="AH17" s="101">
        <f>SUM(C17:AG17)</f>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4"/>
  <sheetViews>
    <sheetView topLeftCell="A23" workbookViewId="0">
      <selection activeCell="F20" sqref="F20"/>
    </sheetView>
  </sheetViews>
  <sheetFormatPr baseColWidth="10" defaultColWidth="11.5" defaultRowHeight="15" x14ac:dyDescent="0.2"/>
  <cols>
    <col min="2" max="2" width="26.33203125" bestFit="1" customWidth="1"/>
    <col min="3" max="3" width="15.33203125" customWidth="1"/>
    <col min="4" max="4" width="15.6640625" customWidth="1"/>
    <col min="5" max="5" width="15.33203125" customWidth="1"/>
    <col min="6" max="6" width="21.33203125" bestFit="1" customWidth="1"/>
    <col min="7" max="7" width="5.6640625" bestFit="1" customWidth="1"/>
    <col min="8" max="8" width="10" bestFit="1" customWidth="1"/>
    <col min="9" max="9" width="16.83203125" bestFit="1" customWidth="1"/>
    <col min="10" max="10" width="9.5" customWidth="1"/>
    <col min="11" max="11" width="11" bestFit="1" customWidth="1"/>
  </cols>
  <sheetData>
    <row r="1" spans="2:12" ht="16" thickBot="1" x14ac:dyDescent="0.25"/>
    <row r="2" spans="2:12" ht="16" thickBot="1" x14ac:dyDescent="0.25">
      <c r="C2" s="115" t="s">
        <v>43</v>
      </c>
      <c r="D2" s="116"/>
      <c r="E2" s="116"/>
      <c r="F2" s="117"/>
      <c r="G2">
        <v>515</v>
      </c>
      <c r="H2">
        <v>515</v>
      </c>
      <c r="I2">
        <v>515</v>
      </c>
    </row>
    <row r="3" spans="2:12" ht="16" thickBot="1" x14ac:dyDescent="0.25">
      <c r="B3" s="118" t="s">
        <v>0</v>
      </c>
      <c r="C3" s="21">
        <v>2236</v>
      </c>
      <c r="D3" s="21">
        <v>4910</v>
      </c>
      <c r="E3" s="21">
        <v>4660</v>
      </c>
      <c r="F3" s="22" t="s">
        <v>1</v>
      </c>
      <c r="G3" s="23" t="s">
        <v>2</v>
      </c>
      <c r="H3" s="24" t="s">
        <v>3</v>
      </c>
      <c r="I3" s="23" t="s">
        <v>4</v>
      </c>
      <c r="J3" s="3" t="s">
        <v>5</v>
      </c>
      <c r="K3" s="2" t="s">
        <v>6</v>
      </c>
      <c r="L3" s="2" t="s">
        <v>71</v>
      </c>
    </row>
    <row r="4" spans="2:12" ht="16" thickBot="1" x14ac:dyDescent="0.25">
      <c r="B4" s="119"/>
      <c r="C4" s="5">
        <v>0</v>
      </c>
      <c r="D4" s="5"/>
      <c r="E4" s="5"/>
      <c r="F4" s="6">
        <v>0</v>
      </c>
      <c r="G4" s="6">
        <v>0</v>
      </c>
      <c r="H4" s="6">
        <v>768</v>
      </c>
      <c r="I4" s="6">
        <v>0</v>
      </c>
      <c r="J4" s="7">
        <f>+C4+D4+E4+F5+G5+H5+I4</f>
        <v>395520</v>
      </c>
      <c r="K4" s="7">
        <f>+J4/$H$2</f>
        <v>768</v>
      </c>
      <c r="L4" s="72">
        <f>K4-C8</f>
        <v>0</v>
      </c>
    </row>
    <row r="5" spans="2:12" ht="16" thickBot="1" x14ac:dyDescent="0.25">
      <c r="B5" s="120"/>
      <c r="C5" s="9"/>
      <c r="D5" s="9"/>
      <c r="E5" s="9"/>
      <c r="F5" s="10">
        <f>+F4*F2</f>
        <v>0</v>
      </c>
      <c r="G5" s="10">
        <f>+G4*G2</f>
        <v>0</v>
      </c>
      <c r="H5" s="10">
        <f>+H4*H2</f>
        <v>395520</v>
      </c>
      <c r="I5" s="10"/>
      <c r="J5" s="10"/>
      <c r="K5" s="10"/>
    </row>
    <row r="6" spans="2:12" ht="16" thickBot="1" x14ac:dyDescent="0.25"/>
    <row r="7" spans="2:12" x14ac:dyDescent="0.2">
      <c r="B7" s="121" t="s">
        <v>7</v>
      </c>
      <c r="C7" s="122"/>
      <c r="D7" s="25"/>
      <c r="E7" s="25"/>
    </row>
    <row r="8" spans="2:12" x14ac:dyDescent="0.2">
      <c r="B8" s="13" t="s">
        <v>8</v>
      </c>
      <c r="C8" s="10">
        <v>768</v>
      </c>
    </row>
    <row r="9" spans="2:12" x14ac:dyDescent="0.2">
      <c r="B9" s="14" t="s">
        <v>9</v>
      </c>
      <c r="C9" s="15" t="s">
        <v>10</v>
      </c>
      <c r="D9" s="15"/>
      <c r="E9" s="15"/>
      <c r="F9" s="15" t="s">
        <v>3</v>
      </c>
    </row>
    <row r="10" spans="2:12" x14ac:dyDescent="0.2">
      <c r="B10" s="10" t="s">
        <v>11</v>
      </c>
      <c r="C10" s="19">
        <f>+C47</f>
        <v>2000</v>
      </c>
      <c r="D10" s="10"/>
      <c r="E10" s="10"/>
      <c r="F10" s="16">
        <f>+F47</f>
        <v>18.883495145631066</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18.883495145631066</v>
      </c>
    </row>
    <row r="33" spans="2:6" x14ac:dyDescent="0.2">
      <c r="B33" s="14" t="s">
        <v>11</v>
      </c>
      <c r="C33" s="15" t="s">
        <v>10</v>
      </c>
      <c r="D33" s="15"/>
      <c r="E33" s="15"/>
      <c r="F33" s="15" t="s">
        <v>3</v>
      </c>
    </row>
    <row r="34" spans="2:6" x14ac:dyDescent="0.2">
      <c r="B34" s="10" t="s">
        <v>32</v>
      </c>
      <c r="C34" s="18"/>
      <c r="D34" s="18"/>
      <c r="E34" s="18"/>
      <c r="F34" s="19">
        <f>C34/$H$2</f>
        <v>0</v>
      </c>
    </row>
    <row r="35" spans="2:6" x14ac:dyDescent="0.2">
      <c r="B35" s="10" t="s">
        <v>33</v>
      </c>
      <c r="C35" s="19">
        <v>2000</v>
      </c>
      <c r="D35" s="19"/>
      <c r="E35" s="19"/>
      <c r="F35" s="19">
        <f>C35/$H$2</f>
        <v>3.883495145631068</v>
      </c>
    </row>
    <row r="36" spans="2:6" x14ac:dyDescent="0.2">
      <c r="B36" s="10" t="s">
        <v>34</v>
      </c>
      <c r="C36" s="19"/>
      <c r="D36" s="19"/>
      <c r="E36" s="19"/>
      <c r="F36" s="19">
        <f t="shared" ref="F36:F38" si="0">C36/$H$2</f>
        <v>0</v>
      </c>
    </row>
    <row r="37" spans="2:6" x14ac:dyDescent="0.2">
      <c r="B37" s="10" t="s">
        <v>35</v>
      </c>
      <c r="C37" s="19"/>
      <c r="D37" s="19"/>
      <c r="E37" s="19"/>
      <c r="F37" s="19">
        <f t="shared" si="0"/>
        <v>0</v>
      </c>
    </row>
    <row r="38" spans="2:6" x14ac:dyDescent="0.2">
      <c r="B38" s="10" t="s">
        <v>36</v>
      </c>
      <c r="C38" s="19"/>
      <c r="D38" s="19"/>
      <c r="E38" s="19"/>
      <c r="F38" s="19">
        <f t="shared" si="0"/>
        <v>0</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16">
        <f>ROUND(K4*0.02,0)</f>
        <v>15</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18.883495145631066</v>
      </c>
    </row>
    <row r="50" spans="1:7" ht="16" thickBot="1" x14ac:dyDescent="0.25"/>
    <row r="51" spans="1:7" ht="16" thickBot="1" x14ac:dyDescent="0.25">
      <c r="B51" s="123" t="s">
        <v>40</v>
      </c>
      <c r="C51" s="124"/>
      <c r="D51" s="125"/>
      <c r="E51" s="27"/>
      <c r="F51" s="27"/>
      <c r="G51" s="27"/>
    </row>
    <row r="52" spans="1:7" ht="16" thickBot="1" x14ac:dyDescent="0.25">
      <c r="B52" s="31" t="s">
        <v>10</v>
      </c>
      <c r="C52" s="32" t="s">
        <v>3</v>
      </c>
      <c r="D52" s="33" t="s">
        <v>2</v>
      </c>
    </row>
    <row r="53" spans="1:7" x14ac:dyDescent="0.2">
      <c r="A53" s="34" t="s">
        <v>41</v>
      </c>
      <c r="B53" s="38">
        <v>6110</v>
      </c>
      <c r="C53" s="39">
        <v>472</v>
      </c>
      <c r="D53" s="40">
        <v>40</v>
      </c>
    </row>
    <row r="54" spans="1:7" ht="16" thickBot="1" x14ac:dyDescent="0.25">
      <c r="A54" s="34" t="s">
        <v>42</v>
      </c>
      <c r="B54" s="41">
        <f>B53-4000</f>
        <v>2110</v>
      </c>
      <c r="C54" s="42">
        <v>472</v>
      </c>
      <c r="D54" s="43">
        <v>40</v>
      </c>
    </row>
  </sheetData>
  <mergeCells count="4">
    <mergeCell ref="C2:F2"/>
    <mergeCell ref="B3:B5"/>
    <mergeCell ref="B7:C7"/>
    <mergeCell ref="B51:D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4"/>
  <sheetViews>
    <sheetView topLeftCell="A4" workbookViewId="0">
      <selection activeCell="F20" sqref="F20"/>
    </sheetView>
  </sheetViews>
  <sheetFormatPr baseColWidth="10" defaultColWidth="11.5" defaultRowHeight="15" x14ac:dyDescent="0.2"/>
  <cols>
    <col min="2" max="2" width="26.33203125" bestFit="1" customWidth="1"/>
    <col min="3" max="3" width="15.33203125" customWidth="1"/>
    <col min="4" max="4" width="15.6640625" customWidth="1"/>
    <col min="5" max="5" width="15.33203125" customWidth="1"/>
    <col min="6" max="6" width="15.5" customWidth="1"/>
    <col min="7" max="7" width="13.1640625" customWidth="1"/>
    <col min="8" max="8" width="10" bestFit="1" customWidth="1"/>
    <col min="9" max="9" width="16.83203125" bestFit="1" customWidth="1"/>
    <col min="10" max="10" width="15.5" customWidth="1"/>
    <col min="11" max="11" width="11" bestFit="1" customWidth="1"/>
  </cols>
  <sheetData>
    <row r="1" spans="2:12" ht="16" thickBot="1" x14ac:dyDescent="0.25"/>
    <row r="2" spans="2:12" ht="16" thickBot="1" x14ac:dyDescent="0.25">
      <c r="C2" s="115" t="s">
        <v>43</v>
      </c>
      <c r="D2" s="116"/>
      <c r="E2" s="116"/>
      <c r="F2" s="117"/>
      <c r="G2">
        <v>515</v>
      </c>
      <c r="H2">
        <v>515</v>
      </c>
      <c r="I2">
        <v>515</v>
      </c>
    </row>
    <row r="3" spans="2:12" ht="16" thickBot="1" x14ac:dyDescent="0.25">
      <c r="B3" s="118" t="s">
        <v>0</v>
      </c>
      <c r="C3" s="21">
        <v>2236</v>
      </c>
      <c r="D3" s="21">
        <v>4910</v>
      </c>
      <c r="E3" s="21">
        <v>4660</v>
      </c>
      <c r="F3" s="22" t="s">
        <v>1</v>
      </c>
      <c r="G3" s="23" t="s">
        <v>2</v>
      </c>
      <c r="H3" s="24" t="s">
        <v>3</v>
      </c>
      <c r="I3" s="23" t="s">
        <v>4</v>
      </c>
      <c r="J3" s="3" t="s">
        <v>5</v>
      </c>
      <c r="K3" s="2" t="s">
        <v>6</v>
      </c>
      <c r="L3" s="2" t="s">
        <v>71</v>
      </c>
    </row>
    <row r="4" spans="2:12" ht="16" thickBot="1" x14ac:dyDescent="0.25">
      <c r="B4" s="119"/>
      <c r="C4" s="5">
        <v>23925</v>
      </c>
      <c r="D4" s="5">
        <v>25000</v>
      </c>
      <c r="E4" s="5"/>
      <c r="F4" s="6">
        <v>0</v>
      </c>
      <c r="G4" s="6">
        <v>5</v>
      </c>
      <c r="H4" s="6">
        <f>275+8</f>
        <v>283</v>
      </c>
      <c r="I4" s="6">
        <v>0</v>
      </c>
      <c r="J4" s="7">
        <f>+C4+D4+E4+F5+G5+H5+I4</f>
        <v>197245</v>
      </c>
      <c r="K4" s="7">
        <f>+J4/$H$2</f>
        <v>383</v>
      </c>
      <c r="L4" s="72">
        <f>K4-C8</f>
        <v>0</v>
      </c>
    </row>
    <row r="5" spans="2:12" ht="16" thickBot="1" x14ac:dyDescent="0.25">
      <c r="B5" s="120"/>
      <c r="C5" s="9"/>
      <c r="D5" s="9"/>
      <c r="E5" s="9"/>
      <c r="F5" s="10">
        <f>+F4*F2</f>
        <v>0</v>
      </c>
      <c r="G5" s="10">
        <f>+G4*G2</f>
        <v>2575</v>
      </c>
      <c r="H5" s="10">
        <f>+H4*H2</f>
        <v>145745</v>
      </c>
      <c r="I5" s="10"/>
      <c r="J5" s="10"/>
      <c r="K5" s="10"/>
    </row>
    <row r="6" spans="2:12" ht="16" thickBot="1" x14ac:dyDescent="0.25"/>
    <row r="7" spans="2:12" x14ac:dyDescent="0.2">
      <c r="B7" s="121" t="s">
        <v>7</v>
      </c>
      <c r="C7" s="122"/>
      <c r="D7" s="25"/>
      <c r="E7" s="25"/>
    </row>
    <row r="8" spans="2:12" x14ac:dyDescent="0.2">
      <c r="B8" s="13" t="s">
        <v>8</v>
      </c>
      <c r="C8" s="10">
        <v>383</v>
      </c>
    </row>
    <row r="9" spans="2:12" x14ac:dyDescent="0.2">
      <c r="B9" s="14" t="s">
        <v>9</v>
      </c>
      <c r="C9" s="15" t="s">
        <v>10</v>
      </c>
      <c r="D9" s="15"/>
      <c r="E9" s="15"/>
      <c r="F9" s="15" t="s">
        <v>3</v>
      </c>
    </row>
    <row r="10" spans="2:12" x14ac:dyDescent="0.2">
      <c r="B10" s="10" t="s">
        <v>11</v>
      </c>
      <c r="C10" s="19">
        <f>+C47</f>
        <v>4000</v>
      </c>
      <c r="D10" s="10"/>
      <c r="E10" s="10"/>
      <c r="F10" s="16">
        <f>+F47</f>
        <v>15.766990291262136</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4000</v>
      </c>
      <c r="D30" s="13"/>
      <c r="E30" s="13"/>
      <c r="F30" s="17">
        <f>SUM(F10:F20)+F24+F25+F26+F27+F28+F29</f>
        <v>15.766990291262136</v>
      </c>
    </row>
    <row r="33" spans="2:6" x14ac:dyDescent="0.2">
      <c r="B33" s="14" t="s">
        <v>11</v>
      </c>
      <c r="C33" s="15" t="s">
        <v>10</v>
      </c>
      <c r="D33" s="15"/>
      <c r="E33" s="15"/>
      <c r="F33" s="15" t="s">
        <v>3</v>
      </c>
    </row>
    <row r="34" spans="2:6" x14ac:dyDescent="0.2">
      <c r="B34" s="10" t="s">
        <v>32</v>
      </c>
      <c r="C34" s="18"/>
      <c r="D34" s="18"/>
      <c r="E34" s="18"/>
      <c r="F34" s="19">
        <f>C34/$H$2</f>
        <v>0</v>
      </c>
    </row>
    <row r="35" spans="2:6" x14ac:dyDescent="0.2">
      <c r="B35" s="10" t="s">
        <v>33</v>
      </c>
      <c r="C35" s="19">
        <v>2000</v>
      </c>
      <c r="D35" s="19"/>
      <c r="E35" s="19"/>
      <c r="F35" s="19">
        <f>C35/$H$2</f>
        <v>3.883495145631068</v>
      </c>
    </row>
    <row r="36" spans="2:6" x14ac:dyDescent="0.2">
      <c r="B36" s="10" t="s">
        <v>34</v>
      </c>
      <c r="C36" s="19"/>
      <c r="D36" s="19"/>
      <c r="E36" s="19"/>
      <c r="F36" s="19">
        <f t="shared" ref="F36:F38" si="0">C36/$H$2</f>
        <v>0</v>
      </c>
    </row>
    <row r="37" spans="2:6" x14ac:dyDescent="0.2">
      <c r="B37" s="10" t="s">
        <v>35</v>
      </c>
      <c r="C37" s="19"/>
      <c r="D37" s="19"/>
      <c r="E37" s="19"/>
      <c r="F37" s="19">
        <f t="shared" si="0"/>
        <v>0</v>
      </c>
    </row>
    <row r="38" spans="2:6" x14ac:dyDescent="0.2">
      <c r="B38" s="10" t="s">
        <v>36</v>
      </c>
      <c r="C38" s="19">
        <v>2000</v>
      </c>
      <c r="D38" s="19"/>
      <c r="E38" s="19"/>
      <c r="F38" s="19">
        <f t="shared" si="0"/>
        <v>3.883495145631068</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16">
        <f>ROUND(K4*0.02,0)</f>
        <v>8</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4000</v>
      </c>
      <c r="D47" s="26"/>
      <c r="E47" s="26"/>
      <c r="F47" s="26">
        <f>SUM(F34:F46)</f>
        <v>15.766990291262136</v>
      </c>
    </row>
    <row r="50" spans="1:7" ht="16" thickBot="1" x14ac:dyDescent="0.25"/>
    <row r="51" spans="1:7" ht="16" thickBot="1" x14ac:dyDescent="0.25">
      <c r="B51" s="123" t="s">
        <v>40</v>
      </c>
      <c r="C51" s="124"/>
      <c r="D51" s="125"/>
      <c r="E51" s="27"/>
      <c r="F51" s="27"/>
      <c r="G51" s="27"/>
    </row>
    <row r="52" spans="1:7" ht="16" thickBot="1" x14ac:dyDescent="0.25">
      <c r="B52" s="31" t="s">
        <v>10</v>
      </c>
      <c r="C52" s="32" t="s">
        <v>3</v>
      </c>
      <c r="D52" s="33" t="s">
        <v>2</v>
      </c>
    </row>
    <row r="53" spans="1:7" x14ac:dyDescent="0.2">
      <c r="A53" s="34" t="s">
        <v>41</v>
      </c>
      <c r="B53" s="38">
        <v>6110</v>
      </c>
      <c r="C53" s="39">
        <v>472</v>
      </c>
      <c r="D53" s="40">
        <v>40</v>
      </c>
    </row>
    <row r="54" spans="1:7" ht="16" thickBot="1" x14ac:dyDescent="0.25">
      <c r="A54" s="34" t="s">
        <v>42</v>
      </c>
      <c r="B54" s="41">
        <f>B53-4000</f>
        <v>2110</v>
      </c>
      <c r="C54" s="42">
        <v>472</v>
      </c>
      <c r="D54" s="43">
        <v>40</v>
      </c>
    </row>
  </sheetData>
  <mergeCells count="4">
    <mergeCell ref="C2:F2"/>
    <mergeCell ref="B3:B5"/>
    <mergeCell ref="B7:C7"/>
    <mergeCell ref="B51:D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4"/>
  <sheetViews>
    <sheetView workbookViewId="0">
      <selection activeCell="F20" sqref="F20"/>
    </sheetView>
  </sheetViews>
  <sheetFormatPr baseColWidth="10" defaultColWidth="11.5" defaultRowHeight="15" x14ac:dyDescent="0.2"/>
  <cols>
    <col min="2" max="2" width="26.33203125" bestFit="1" customWidth="1"/>
    <col min="3" max="3" width="15.33203125" customWidth="1"/>
    <col min="4" max="4" width="15.6640625" customWidth="1"/>
    <col min="5" max="5" width="15.33203125" customWidth="1"/>
    <col min="6" max="6" width="21.33203125" bestFit="1" customWidth="1"/>
    <col min="7" max="7" width="5.6640625" bestFit="1" customWidth="1"/>
    <col min="8" max="8" width="10" bestFit="1" customWidth="1"/>
    <col min="9" max="9" width="16.83203125" bestFit="1" customWidth="1"/>
    <col min="10" max="10" width="9.5" customWidth="1"/>
    <col min="11" max="11" width="11" bestFit="1" customWidth="1"/>
  </cols>
  <sheetData>
    <row r="1" spans="2:12" ht="16" thickBot="1" x14ac:dyDescent="0.25"/>
    <row r="2" spans="2:12" ht="16" thickBot="1" x14ac:dyDescent="0.25">
      <c r="C2" s="115" t="s">
        <v>43</v>
      </c>
      <c r="D2" s="116"/>
      <c r="E2" s="116"/>
      <c r="F2" s="117"/>
      <c r="G2">
        <v>517</v>
      </c>
      <c r="H2">
        <v>517</v>
      </c>
      <c r="I2">
        <v>517</v>
      </c>
    </row>
    <row r="3" spans="2:12" ht="16" thickBot="1" x14ac:dyDescent="0.25">
      <c r="B3" s="118" t="s">
        <v>0</v>
      </c>
      <c r="C3" s="21">
        <v>2236</v>
      </c>
      <c r="D3" s="21">
        <v>4910</v>
      </c>
      <c r="E3" s="21">
        <v>4660</v>
      </c>
      <c r="F3" s="22" t="s">
        <v>1</v>
      </c>
      <c r="G3" s="23" t="s">
        <v>2</v>
      </c>
      <c r="H3" s="24" t="s">
        <v>3</v>
      </c>
      <c r="I3" s="23" t="s">
        <v>4</v>
      </c>
      <c r="J3" s="3" t="s">
        <v>5</v>
      </c>
      <c r="K3" s="2" t="s">
        <v>6</v>
      </c>
      <c r="L3" s="2" t="s">
        <v>71</v>
      </c>
    </row>
    <row r="4" spans="2:12" ht="16" thickBot="1" x14ac:dyDescent="0.25">
      <c r="B4" s="119"/>
      <c r="C4" s="5">
        <v>0</v>
      </c>
      <c r="D4" s="5"/>
      <c r="E4" s="5"/>
      <c r="F4" s="6">
        <v>0</v>
      </c>
      <c r="G4" s="6">
        <v>0</v>
      </c>
      <c r="H4" s="6">
        <f>682+15</f>
        <v>697</v>
      </c>
      <c r="I4" s="6">
        <v>15510</v>
      </c>
      <c r="J4" s="7">
        <f>+C4+D4+E4+F5+G5+H5+I4</f>
        <v>375859</v>
      </c>
      <c r="K4" s="7">
        <f>+J4/$H$2</f>
        <v>727</v>
      </c>
      <c r="L4" s="72">
        <f>K4-C8</f>
        <v>0</v>
      </c>
    </row>
    <row r="5" spans="2:12" ht="16" thickBot="1" x14ac:dyDescent="0.25">
      <c r="B5" s="120"/>
      <c r="C5" s="9"/>
      <c r="D5" s="9"/>
      <c r="E5" s="9"/>
      <c r="F5" s="10">
        <f>+F4*F2</f>
        <v>0</v>
      </c>
      <c r="G5" s="10">
        <f>+G4*G2</f>
        <v>0</v>
      </c>
      <c r="H5" s="10">
        <f>+H4*H2</f>
        <v>360349</v>
      </c>
      <c r="I5" s="10"/>
      <c r="J5" s="10"/>
      <c r="K5" s="10"/>
    </row>
    <row r="6" spans="2:12" ht="16" thickBot="1" x14ac:dyDescent="0.25"/>
    <row r="7" spans="2:12" x14ac:dyDescent="0.2">
      <c r="B7" s="121" t="s">
        <v>7</v>
      </c>
      <c r="C7" s="122"/>
      <c r="D7" s="25"/>
      <c r="E7" s="25"/>
    </row>
    <row r="8" spans="2:12" x14ac:dyDescent="0.2">
      <c r="B8" s="13" t="s">
        <v>8</v>
      </c>
      <c r="C8" s="10">
        <v>727</v>
      </c>
    </row>
    <row r="9" spans="2:12" x14ac:dyDescent="0.2">
      <c r="B9" s="14" t="s">
        <v>9</v>
      </c>
      <c r="C9" s="15" t="s">
        <v>10</v>
      </c>
      <c r="D9" s="15"/>
      <c r="E9" s="15"/>
      <c r="F9" s="15" t="s">
        <v>3</v>
      </c>
    </row>
    <row r="10" spans="2:12" x14ac:dyDescent="0.2">
      <c r="B10" s="10" t="s">
        <v>11</v>
      </c>
      <c r="C10" s="19">
        <f>+C47</f>
        <v>4000</v>
      </c>
      <c r="D10" s="10"/>
      <c r="E10" s="10"/>
      <c r="F10" s="16">
        <f>+F47</f>
        <v>22.736943907156672</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4000</v>
      </c>
      <c r="D30" s="13"/>
      <c r="E30" s="13"/>
      <c r="F30" s="17">
        <f>SUM(F10:F20)+F24+F25+F26+F27+F28+F29</f>
        <v>22.736943907156672</v>
      </c>
    </row>
    <row r="33" spans="2:6" x14ac:dyDescent="0.2">
      <c r="B33" s="14" t="s">
        <v>11</v>
      </c>
      <c r="C33" s="15" t="s">
        <v>10</v>
      </c>
      <c r="D33" s="15"/>
      <c r="E33" s="15"/>
      <c r="F33" s="15" t="s">
        <v>3</v>
      </c>
    </row>
    <row r="34" spans="2:6" x14ac:dyDescent="0.2">
      <c r="B34" s="10" t="s">
        <v>32</v>
      </c>
      <c r="C34" s="18">
        <v>2000</v>
      </c>
      <c r="D34" s="18"/>
      <c r="E34" s="18"/>
      <c r="F34" s="19">
        <f>C34/$H$2</f>
        <v>3.8684719535783367</v>
      </c>
    </row>
    <row r="35" spans="2:6" x14ac:dyDescent="0.2">
      <c r="B35" s="10" t="s">
        <v>33</v>
      </c>
      <c r="C35" s="19"/>
      <c r="D35" s="19"/>
      <c r="E35" s="19"/>
      <c r="F35" s="19">
        <f t="shared" ref="F35:F38" si="0">C35/$H$2</f>
        <v>0</v>
      </c>
    </row>
    <row r="36" spans="2:6" x14ac:dyDescent="0.2">
      <c r="B36" s="10" t="s">
        <v>34</v>
      </c>
      <c r="C36" s="19"/>
      <c r="D36" s="19"/>
      <c r="E36" s="19"/>
      <c r="F36" s="19">
        <f t="shared" si="0"/>
        <v>0</v>
      </c>
    </row>
    <row r="37" spans="2:6" x14ac:dyDescent="0.2">
      <c r="B37" s="10" t="s">
        <v>35</v>
      </c>
      <c r="C37" s="19"/>
      <c r="D37" s="19"/>
      <c r="E37" s="19"/>
      <c r="F37" s="19">
        <f t="shared" si="0"/>
        <v>0</v>
      </c>
    </row>
    <row r="38" spans="2:6" x14ac:dyDescent="0.2">
      <c r="B38" s="10" t="s">
        <v>36</v>
      </c>
      <c r="C38" s="19">
        <v>2000</v>
      </c>
      <c r="D38" s="19"/>
      <c r="E38" s="19"/>
      <c r="F38" s="19">
        <f t="shared" si="0"/>
        <v>3.8684719535783367</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16">
        <f>ROUNDUP(K4*0.02,0)</f>
        <v>15</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4000</v>
      </c>
      <c r="D47" s="26"/>
      <c r="E47" s="26"/>
      <c r="F47" s="26">
        <f>SUM(F34:F46)</f>
        <v>22.736943907156672</v>
      </c>
    </row>
    <row r="50" spans="1:7" ht="16" thickBot="1" x14ac:dyDescent="0.25"/>
    <row r="51" spans="1:7" ht="16" thickBot="1" x14ac:dyDescent="0.25">
      <c r="B51" s="123" t="s">
        <v>40</v>
      </c>
      <c r="C51" s="124"/>
      <c r="D51" s="125"/>
      <c r="E51" s="27"/>
      <c r="F51" s="27"/>
      <c r="G51" s="27"/>
    </row>
    <row r="52" spans="1:7" ht="16" thickBot="1" x14ac:dyDescent="0.25">
      <c r="B52" s="31" t="s">
        <v>10</v>
      </c>
      <c r="C52" s="32" t="s">
        <v>3</v>
      </c>
      <c r="D52" s="33" t="s">
        <v>2</v>
      </c>
    </row>
    <row r="53" spans="1:7" x14ac:dyDescent="0.2">
      <c r="A53" s="34" t="s">
        <v>41</v>
      </c>
      <c r="B53" s="38">
        <v>6110</v>
      </c>
      <c r="C53" s="39">
        <v>472</v>
      </c>
      <c r="D53" s="40">
        <v>40</v>
      </c>
    </row>
    <row r="54" spans="1:7" ht="16" thickBot="1" x14ac:dyDescent="0.25">
      <c r="A54" s="34" t="s">
        <v>42</v>
      </c>
      <c r="B54" s="41">
        <f>B53-4000</f>
        <v>2110</v>
      </c>
      <c r="C54" s="42">
        <v>472</v>
      </c>
      <c r="D54" s="43">
        <v>40</v>
      </c>
    </row>
  </sheetData>
  <mergeCells count="4">
    <mergeCell ref="B3:B5"/>
    <mergeCell ref="B7:C7"/>
    <mergeCell ref="C2:F2"/>
    <mergeCell ref="B51:D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4"/>
  <sheetViews>
    <sheetView topLeftCell="A5" workbookViewId="0">
      <selection activeCell="F20" sqref="F20"/>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518</v>
      </c>
      <c r="H2">
        <v>518</v>
      </c>
      <c r="I2">
        <v>518</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201+4</f>
        <v>205</v>
      </c>
      <c r="I4" s="6"/>
      <c r="J4" s="7">
        <f>+C4+D4+E4+F5+G5+H5+I4</f>
        <v>106190</v>
      </c>
      <c r="K4" s="7">
        <f>+J4/H2</f>
        <v>205</v>
      </c>
      <c r="L4" s="72">
        <f>K4-C8</f>
        <v>0</v>
      </c>
    </row>
    <row r="5" spans="2:12" ht="16" thickBot="1" x14ac:dyDescent="0.25">
      <c r="B5" s="8"/>
      <c r="C5" s="9"/>
      <c r="D5" s="9"/>
      <c r="E5" s="9"/>
      <c r="F5" s="10">
        <f>+F4*F2</f>
        <v>0</v>
      </c>
      <c r="G5" s="10">
        <f>+G4*G2</f>
        <v>0</v>
      </c>
      <c r="H5" s="10">
        <f>+H4*H2</f>
        <v>106190</v>
      </c>
      <c r="I5" s="10"/>
      <c r="J5" s="10"/>
      <c r="K5" s="10"/>
    </row>
    <row r="6" spans="2:12" ht="16" thickBot="1" x14ac:dyDescent="0.25"/>
    <row r="7" spans="2:12" x14ac:dyDescent="0.2">
      <c r="B7" s="11" t="s">
        <v>7</v>
      </c>
      <c r="C7" s="12"/>
      <c r="D7" s="25"/>
      <c r="E7" s="25"/>
    </row>
    <row r="8" spans="2:12" x14ac:dyDescent="0.2">
      <c r="B8" s="13" t="s">
        <v>8</v>
      </c>
      <c r="C8" s="10">
        <v>205</v>
      </c>
    </row>
    <row r="9" spans="2:12" x14ac:dyDescent="0.2">
      <c r="B9" s="14" t="s">
        <v>9</v>
      </c>
      <c r="C9" s="15" t="s">
        <v>10</v>
      </c>
      <c r="D9" s="15"/>
      <c r="E9" s="15"/>
      <c r="F9" s="15" t="s">
        <v>3</v>
      </c>
    </row>
    <row r="10" spans="2:12" x14ac:dyDescent="0.2">
      <c r="B10" s="10" t="s">
        <v>11</v>
      </c>
      <c r="C10" s="19">
        <f>+C47</f>
        <v>2000</v>
      </c>
      <c r="D10" s="10"/>
      <c r="E10" s="10"/>
      <c r="F10" s="16">
        <f>+F47</f>
        <v>8.8610038610038604</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8.8610038610038604</v>
      </c>
    </row>
    <row r="33" spans="2:6" x14ac:dyDescent="0.2">
      <c r="B33" s="14" t="s">
        <v>11</v>
      </c>
      <c r="C33" s="15" t="s">
        <v>10</v>
      </c>
      <c r="D33" s="15"/>
      <c r="E33" s="15"/>
      <c r="F33" s="15" t="s">
        <v>3</v>
      </c>
    </row>
    <row r="34" spans="2:6" x14ac:dyDescent="0.2">
      <c r="B34" s="10" t="s">
        <v>32</v>
      </c>
      <c r="C34" s="18"/>
      <c r="D34" s="18"/>
      <c r="E34" s="18"/>
      <c r="F34" s="44">
        <f t="shared" ref="F34:F37" si="0">C34/$H$2</f>
        <v>0</v>
      </c>
    </row>
    <row r="35" spans="2:6" x14ac:dyDescent="0.2">
      <c r="B35" s="10" t="s">
        <v>33</v>
      </c>
      <c r="C35" s="19"/>
      <c r="D35" s="19"/>
      <c r="E35" s="19"/>
      <c r="F35" s="44">
        <f t="shared" si="0"/>
        <v>0</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v>2000</v>
      </c>
      <c r="D38" s="19"/>
      <c r="E38" s="19"/>
      <c r="F38" s="44">
        <f>C38/$H$2</f>
        <v>3.8610038610038608</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73">
        <f>ROUNDUP(K4*0.02,0)</f>
        <v>5</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8.8610038610038604</v>
      </c>
    </row>
    <row r="50" spans="1:9" ht="16" thickBot="1" x14ac:dyDescent="0.25"/>
    <row r="51" spans="1:9" ht="16" thickBot="1" x14ac:dyDescent="0.25">
      <c r="B51" s="141" t="s">
        <v>40</v>
      </c>
      <c r="C51" s="142"/>
      <c r="D51" s="143"/>
      <c r="E51" s="27"/>
      <c r="F51" s="129" t="s">
        <v>45</v>
      </c>
      <c r="G51" s="130"/>
      <c r="H51" s="130"/>
      <c r="I51" s="131"/>
    </row>
    <row r="52" spans="1:9" ht="16" thickBot="1" x14ac:dyDescent="0.25">
      <c r="B52" s="53" t="s">
        <v>10</v>
      </c>
      <c r="C52" s="54" t="s">
        <v>3</v>
      </c>
      <c r="D52" s="55" t="s">
        <v>2</v>
      </c>
      <c r="F52" s="132" t="s">
        <v>61</v>
      </c>
      <c r="G52" s="133"/>
      <c r="H52" s="133"/>
      <c r="I52" s="134"/>
    </row>
    <row r="53" spans="1:9" ht="17" thickBot="1" x14ac:dyDescent="0.25">
      <c r="A53" s="47" t="s">
        <v>46</v>
      </c>
      <c r="B53" s="31">
        <v>2110</v>
      </c>
      <c r="C53" s="36">
        <v>472</v>
      </c>
      <c r="D53" s="37">
        <v>40</v>
      </c>
      <c r="F53" s="135"/>
      <c r="G53" s="136"/>
      <c r="H53" s="136"/>
      <c r="I53" s="137"/>
    </row>
    <row r="54" spans="1:9" ht="17" thickBot="1" x14ac:dyDescent="0.25">
      <c r="A54" s="47" t="s">
        <v>47</v>
      </c>
      <c r="B54" s="28">
        <f>B53-2000</f>
        <v>110</v>
      </c>
      <c r="C54" s="42">
        <v>472</v>
      </c>
      <c r="D54" s="43">
        <v>40</v>
      </c>
      <c r="F54" s="138"/>
      <c r="G54" s="139"/>
      <c r="H54" s="139"/>
      <c r="I54" s="140"/>
    </row>
  </sheetData>
  <mergeCells count="4">
    <mergeCell ref="C2:F2"/>
    <mergeCell ref="F51:I51"/>
    <mergeCell ref="F52:I54"/>
    <mergeCell ref="B51:D5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4"/>
  <sheetViews>
    <sheetView topLeftCell="A10" workbookViewId="0">
      <selection activeCell="F11" sqref="F11"/>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518</v>
      </c>
      <c r="H2">
        <v>518</v>
      </c>
      <c r="I2">
        <v>518</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581+12</f>
        <v>593</v>
      </c>
      <c r="I4" s="6"/>
      <c r="J4" s="7">
        <f>+C4+D4+E4+F5+G5+H5+I4</f>
        <v>307174</v>
      </c>
      <c r="K4" s="7">
        <f>+J4/H2</f>
        <v>593</v>
      </c>
      <c r="L4" s="72">
        <f>K4-C8</f>
        <v>0</v>
      </c>
    </row>
    <row r="5" spans="2:12" ht="16" thickBot="1" x14ac:dyDescent="0.25">
      <c r="B5" s="8"/>
      <c r="C5" s="9"/>
      <c r="D5" s="9"/>
      <c r="E5" s="9"/>
      <c r="F5" s="10">
        <f>+F4*F2</f>
        <v>0</v>
      </c>
      <c r="G5" s="10">
        <f>+G4*G2</f>
        <v>0</v>
      </c>
      <c r="H5" s="10">
        <f>+H4*H2</f>
        <v>307174</v>
      </c>
      <c r="I5" s="10"/>
      <c r="J5" s="10"/>
      <c r="K5" s="10"/>
    </row>
    <row r="6" spans="2:12" ht="16" thickBot="1" x14ac:dyDescent="0.25"/>
    <row r="7" spans="2:12" x14ac:dyDescent="0.2">
      <c r="B7" s="11" t="s">
        <v>7</v>
      </c>
      <c r="C7" s="12"/>
      <c r="D7" s="25"/>
      <c r="E7" s="25"/>
    </row>
    <row r="8" spans="2:12" x14ac:dyDescent="0.2">
      <c r="B8" s="13" t="s">
        <v>8</v>
      </c>
      <c r="C8" s="10">
        <v>593</v>
      </c>
    </row>
    <row r="9" spans="2:12" x14ac:dyDescent="0.2">
      <c r="B9" s="14" t="s">
        <v>9</v>
      </c>
      <c r="C9" s="15" t="s">
        <v>10</v>
      </c>
      <c r="D9" s="15"/>
      <c r="E9" s="15"/>
      <c r="F9" s="15" t="s">
        <v>3</v>
      </c>
    </row>
    <row r="10" spans="2:12" x14ac:dyDescent="0.2">
      <c r="B10" s="10" t="s">
        <v>11</v>
      </c>
      <c r="C10" s="19">
        <f>+C47</f>
        <v>0</v>
      </c>
      <c r="D10" s="10"/>
      <c r="E10" s="10"/>
      <c r="F10" s="16">
        <f>+F47</f>
        <v>12</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0</v>
      </c>
      <c r="D30" s="13"/>
      <c r="E30" s="13"/>
      <c r="F30" s="17">
        <f>SUM(F10:F20)+F24+F25+F26+F27+F28+F29</f>
        <v>12</v>
      </c>
    </row>
    <row r="33" spans="2:6" x14ac:dyDescent="0.2">
      <c r="B33" s="14" t="s">
        <v>11</v>
      </c>
      <c r="C33" s="15" t="s">
        <v>10</v>
      </c>
      <c r="D33" s="15"/>
      <c r="E33" s="15"/>
      <c r="F33" s="15" t="s">
        <v>3</v>
      </c>
    </row>
    <row r="34" spans="2:6" x14ac:dyDescent="0.2">
      <c r="B34" s="10" t="s">
        <v>32</v>
      </c>
      <c r="C34" s="18"/>
      <c r="D34" s="18"/>
      <c r="E34" s="18"/>
      <c r="F34" s="44">
        <f>C34/G2</f>
        <v>0</v>
      </c>
    </row>
    <row r="35" spans="2:6" x14ac:dyDescent="0.2">
      <c r="B35" s="10" t="s">
        <v>33</v>
      </c>
      <c r="C35" s="19"/>
      <c r="D35" s="19"/>
      <c r="E35" s="19"/>
      <c r="F35" s="44"/>
    </row>
    <row r="36" spans="2:6" x14ac:dyDescent="0.2">
      <c r="B36" s="10" t="s">
        <v>34</v>
      </c>
      <c r="C36" s="19"/>
      <c r="D36" s="19"/>
      <c r="E36" s="19"/>
      <c r="F36" s="44"/>
    </row>
    <row r="37" spans="2:6" x14ac:dyDescent="0.2">
      <c r="B37" s="10" t="s">
        <v>35</v>
      </c>
      <c r="C37" s="19"/>
      <c r="D37" s="19"/>
      <c r="E37" s="19"/>
      <c r="F37" s="44"/>
    </row>
    <row r="38" spans="2:6" x14ac:dyDescent="0.2">
      <c r="B38" s="10" t="s">
        <v>36</v>
      </c>
      <c r="C38" s="19"/>
      <c r="D38" s="19"/>
      <c r="E38" s="19"/>
      <c r="F38" s="44"/>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12</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0</v>
      </c>
      <c r="D47" s="26"/>
      <c r="E47" s="26"/>
      <c r="F47" s="26">
        <f>SUM(F34:F46)</f>
        <v>12</v>
      </c>
    </row>
    <row r="50" spans="1:9" ht="16" thickBot="1" x14ac:dyDescent="0.25"/>
    <row r="51" spans="1:9" ht="16" thickBot="1" x14ac:dyDescent="0.25">
      <c r="B51" s="141" t="s">
        <v>40</v>
      </c>
      <c r="C51" s="142"/>
      <c r="D51" s="143"/>
      <c r="E51" s="27"/>
      <c r="F51" s="144" t="s">
        <v>45</v>
      </c>
      <c r="G51" s="144"/>
      <c r="H51" s="144"/>
      <c r="I51" s="144"/>
    </row>
    <row r="52" spans="1:9" ht="16" thickBot="1" x14ac:dyDescent="0.25">
      <c r="B52" s="48" t="s">
        <v>10</v>
      </c>
      <c r="C52" s="49" t="s">
        <v>3</v>
      </c>
      <c r="D52" s="50" t="s">
        <v>2</v>
      </c>
      <c r="F52" s="145" t="s">
        <v>62</v>
      </c>
      <c r="G52" s="146"/>
      <c r="H52" s="146"/>
      <c r="I52" s="147"/>
    </row>
    <row r="53" spans="1:9" ht="16" x14ac:dyDescent="0.2">
      <c r="A53" s="47" t="s">
        <v>46</v>
      </c>
      <c r="B53" s="31">
        <v>110</v>
      </c>
      <c r="C53" s="51">
        <v>472</v>
      </c>
      <c r="D53" s="52">
        <v>40</v>
      </c>
      <c r="F53" s="148"/>
      <c r="G53" s="149"/>
      <c r="H53" s="149"/>
      <c r="I53" s="150"/>
    </row>
    <row r="54" spans="1:9" ht="17" thickBot="1" x14ac:dyDescent="0.25">
      <c r="A54" s="47" t="s">
        <v>47</v>
      </c>
      <c r="B54" s="46">
        <v>110</v>
      </c>
      <c r="C54" s="46">
        <v>472</v>
      </c>
      <c r="D54" s="46">
        <v>40</v>
      </c>
      <c r="F54" s="151"/>
      <c r="G54" s="152"/>
      <c r="H54" s="152"/>
      <c r="I54" s="153"/>
    </row>
  </sheetData>
  <mergeCells count="4">
    <mergeCell ref="C2:F2"/>
    <mergeCell ref="B51:D51"/>
    <mergeCell ref="F51:I51"/>
    <mergeCell ref="F52:I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5"/>
  <sheetViews>
    <sheetView topLeftCell="A11" workbookViewId="0">
      <selection activeCell="F11" sqref="F11"/>
    </sheetView>
  </sheetViews>
  <sheetFormatPr baseColWidth="10" defaultColWidth="11.5" defaultRowHeight="15" x14ac:dyDescent="0.2"/>
  <cols>
    <col min="2" max="2" width="26.33203125" bestFit="1" customWidth="1"/>
  </cols>
  <sheetData>
    <row r="1" spans="2:12" ht="16" thickBot="1" x14ac:dyDescent="0.25"/>
    <row r="2" spans="2:12" ht="16" thickBot="1" x14ac:dyDescent="0.25">
      <c r="C2" s="126" t="s">
        <v>43</v>
      </c>
      <c r="D2" s="127"/>
      <c r="E2" s="127"/>
      <c r="F2" s="128"/>
      <c r="G2">
        <v>518</v>
      </c>
      <c r="H2">
        <v>518</v>
      </c>
      <c r="I2">
        <v>518</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88+2</f>
        <v>90</v>
      </c>
      <c r="I4" s="6"/>
      <c r="J4" s="7">
        <f>+C4+D4+E4+F5+G5+H5+I4</f>
        <v>46620</v>
      </c>
      <c r="K4" s="7">
        <f>+J4/H2</f>
        <v>90</v>
      </c>
      <c r="L4" s="72">
        <f>K4-C8</f>
        <v>0</v>
      </c>
    </row>
    <row r="5" spans="2:12" ht="16" thickBot="1" x14ac:dyDescent="0.25">
      <c r="B5" s="8"/>
      <c r="C5" s="9"/>
      <c r="D5" s="9"/>
      <c r="E5" s="9"/>
      <c r="F5" s="10">
        <f>+F4*F2</f>
        <v>0</v>
      </c>
      <c r="G5" s="10">
        <f>+G4*G2</f>
        <v>0</v>
      </c>
      <c r="H5" s="10">
        <f>+H4*H2</f>
        <v>46620</v>
      </c>
      <c r="I5" s="10"/>
      <c r="J5" s="10"/>
      <c r="K5" s="10"/>
    </row>
    <row r="6" spans="2:12" ht="16" thickBot="1" x14ac:dyDescent="0.25"/>
    <row r="7" spans="2:12" x14ac:dyDescent="0.2">
      <c r="B7" s="11" t="s">
        <v>7</v>
      </c>
      <c r="C7" s="12"/>
      <c r="D7" s="25"/>
      <c r="E7" s="25"/>
    </row>
    <row r="8" spans="2:12" x14ac:dyDescent="0.2">
      <c r="B8" s="13" t="s">
        <v>8</v>
      </c>
      <c r="C8" s="10">
        <v>90</v>
      </c>
    </row>
    <row r="9" spans="2:12" x14ac:dyDescent="0.2">
      <c r="B9" s="14" t="s">
        <v>9</v>
      </c>
      <c r="C9" s="15" t="s">
        <v>10</v>
      </c>
      <c r="D9" s="15"/>
      <c r="E9" s="15"/>
      <c r="F9" s="15" t="s">
        <v>3</v>
      </c>
    </row>
    <row r="10" spans="2:12" x14ac:dyDescent="0.2">
      <c r="B10" s="10" t="s">
        <v>11</v>
      </c>
      <c r="C10" s="19">
        <f>+C47</f>
        <v>8000</v>
      </c>
      <c r="D10" s="10"/>
      <c r="E10" s="10"/>
      <c r="F10" s="16">
        <f>+F47</f>
        <v>17.444015444015442</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8000</v>
      </c>
      <c r="D30" s="13"/>
      <c r="E30" s="13"/>
      <c r="F30" s="17">
        <f>SUM(F10:F20)+F24+F25+F26+F27+F28+F29</f>
        <v>17.444015444015442</v>
      </c>
    </row>
    <row r="33" spans="2:6" x14ac:dyDescent="0.2">
      <c r="B33" s="14" t="s">
        <v>11</v>
      </c>
      <c r="C33" s="15" t="s">
        <v>10</v>
      </c>
      <c r="D33" s="15"/>
      <c r="E33" s="15"/>
      <c r="F33" s="15" t="s">
        <v>3</v>
      </c>
    </row>
    <row r="34" spans="2:6" x14ac:dyDescent="0.2">
      <c r="B34" s="10" t="s">
        <v>32</v>
      </c>
      <c r="C34" s="18">
        <v>6000</v>
      </c>
      <c r="D34" s="18"/>
      <c r="E34" s="18"/>
      <c r="F34" s="44">
        <f t="shared" ref="F34:F37" si="0">C34/$H$2</f>
        <v>11.583011583011583</v>
      </c>
    </row>
    <row r="35" spans="2:6" x14ac:dyDescent="0.2">
      <c r="B35" s="10" t="s">
        <v>33</v>
      </c>
      <c r="C35" s="19">
        <v>2000</v>
      </c>
      <c r="D35" s="19"/>
      <c r="E35" s="19"/>
      <c r="F35" s="44">
        <f t="shared" si="0"/>
        <v>3.8610038610038608</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c r="D38" s="19"/>
      <c r="E38" s="19"/>
      <c r="F38" s="44">
        <f>C38/$H$2</f>
        <v>0</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2</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8000</v>
      </c>
      <c r="D47" s="26"/>
      <c r="E47" s="26"/>
      <c r="F47" s="26">
        <f>SUM(F34:F46)</f>
        <v>17.444015444015442</v>
      </c>
    </row>
    <row r="50" spans="1:9" ht="16" thickBot="1" x14ac:dyDescent="0.25"/>
    <row r="51" spans="1:9" ht="16" thickBot="1" x14ac:dyDescent="0.25">
      <c r="B51" s="141" t="s">
        <v>40</v>
      </c>
      <c r="C51" s="142"/>
      <c r="D51" s="143"/>
      <c r="E51" s="27"/>
      <c r="F51" s="154" t="s">
        <v>45</v>
      </c>
      <c r="G51" s="154"/>
      <c r="H51" s="154"/>
      <c r="I51" s="154"/>
    </row>
    <row r="52" spans="1:9" ht="15" customHeight="1" thickBot="1" x14ac:dyDescent="0.25">
      <c r="B52" s="53" t="s">
        <v>10</v>
      </c>
      <c r="C52" s="54" t="s">
        <v>3</v>
      </c>
      <c r="D52" s="55" t="s">
        <v>2</v>
      </c>
      <c r="F52" s="145" t="s">
        <v>63</v>
      </c>
      <c r="G52" s="146"/>
      <c r="H52" s="146"/>
      <c r="I52" s="147"/>
    </row>
    <row r="53" spans="1:9" x14ac:dyDescent="0.2">
      <c r="A53" s="56" t="s">
        <v>46</v>
      </c>
      <c r="B53" s="35">
        <f>110 +20000</f>
        <v>20110</v>
      </c>
      <c r="C53" s="36">
        <v>472</v>
      </c>
      <c r="D53" s="37">
        <v>40</v>
      </c>
      <c r="F53" s="148"/>
      <c r="G53" s="149"/>
      <c r="H53" s="149"/>
      <c r="I53" s="150"/>
    </row>
    <row r="54" spans="1:9" ht="16" thickBot="1" x14ac:dyDescent="0.25">
      <c r="A54" s="56" t="s">
        <v>48</v>
      </c>
      <c r="B54" s="41">
        <f>B53-8000</f>
        <v>12110</v>
      </c>
      <c r="C54" s="42">
        <v>472</v>
      </c>
      <c r="D54" s="43">
        <v>40</v>
      </c>
      <c r="F54" s="148"/>
      <c r="G54" s="149"/>
      <c r="H54" s="149"/>
      <c r="I54" s="150"/>
    </row>
    <row r="55" spans="1:9" ht="16" thickBot="1" x14ac:dyDescent="0.25">
      <c r="F55" s="151"/>
      <c r="G55" s="152"/>
      <c r="H55" s="152"/>
      <c r="I55" s="153"/>
    </row>
  </sheetData>
  <mergeCells count="4">
    <mergeCell ref="C2:F2"/>
    <mergeCell ref="B51:D51"/>
    <mergeCell ref="F51:I51"/>
    <mergeCell ref="F52:I5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54"/>
  <sheetViews>
    <sheetView topLeftCell="A6" workbookViewId="0">
      <selection activeCell="F11" sqref="F11"/>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520</v>
      </c>
      <c r="H2">
        <v>520</v>
      </c>
      <c r="I2">
        <v>520</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44+1</f>
        <v>45</v>
      </c>
      <c r="I4" s="6">
        <f>40+1000</f>
        <v>1040</v>
      </c>
      <c r="J4" s="7">
        <f>+C4+D4+E4+F5+G5+H5+I4</f>
        <v>24440</v>
      </c>
      <c r="K4" s="7">
        <f>+J4/H2</f>
        <v>47</v>
      </c>
      <c r="L4" s="72">
        <f>K4-C8</f>
        <v>0</v>
      </c>
    </row>
    <row r="5" spans="2:12" ht="16" thickBot="1" x14ac:dyDescent="0.25">
      <c r="B5" s="8"/>
      <c r="C5" s="9"/>
      <c r="D5" s="9"/>
      <c r="E5" s="9"/>
      <c r="F5" s="10">
        <f>+F4*F2</f>
        <v>0</v>
      </c>
      <c r="G5" s="10">
        <f>+G4*G2</f>
        <v>0</v>
      </c>
      <c r="H5" s="10">
        <f>+H4*H2</f>
        <v>23400</v>
      </c>
      <c r="I5" s="10"/>
      <c r="J5" s="10"/>
      <c r="K5" s="10"/>
    </row>
    <row r="6" spans="2:12" ht="16" thickBot="1" x14ac:dyDescent="0.25"/>
    <row r="7" spans="2:12" x14ac:dyDescent="0.2">
      <c r="B7" s="11" t="s">
        <v>7</v>
      </c>
      <c r="C7" s="12"/>
      <c r="D7" s="25"/>
      <c r="E7" s="25"/>
    </row>
    <row r="8" spans="2:12" x14ac:dyDescent="0.2">
      <c r="B8" s="13" t="s">
        <v>8</v>
      </c>
      <c r="C8" s="10">
        <v>47</v>
      </c>
    </row>
    <row r="9" spans="2:12" x14ac:dyDescent="0.2">
      <c r="B9" s="14" t="s">
        <v>9</v>
      </c>
      <c r="C9" s="15" t="s">
        <v>10</v>
      </c>
      <c r="D9" s="15"/>
      <c r="E9" s="15"/>
      <c r="F9" s="15" t="s">
        <v>3</v>
      </c>
    </row>
    <row r="10" spans="2:12" x14ac:dyDescent="0.2">
      <c r="B10" s="10" t="s">
        <v>11</v>
      </c>
      <c r="C10" s="19">
        <f>+C47</f>
        <v>2000</v>
      </c>
      <c r="D10" s="10"/>
      <c r="E10" s="10"/>
      <c r="F10" s="16">
        <f>+F47</f>
        <v>4.8461538461538467</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0"/>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4.8461538461538467</v>
      </c>
    </row>
    <row r="33" spans="2:6" x14ac:dyDescent="0.2">
      <c r="B33" s="14" t="s">
        <v>11</v>
      </c>
      <c r="C33" s="15" t="s">
        <v>10</v>
      </c>
      <c r="D33" s="15"/>
      <c r="E33" s="15"/>
      <c r="F33" s="15" t="s">
        <v>3</v>
      </c>
    </row>
    <row r="34" spans="2:6" x14ac:dyDescent="0.2">
      <c r="B34" s="10" t="s">
        <v>32</v>
      </c>
      <c r="C34" s="18">
        <v>2000</v>
      </c>
      <c r="D34" s="18"/>
      <c r="E34" s="18"/>
      <c r="F34" s="44">
        <f t="shared" ref="F34:F37" si="0">C34/$G$2</f>
        <v>3.8461538461538463</v>
      </c>
    </row>
    <row r="35" spans="2:6" x14ac:dyDescent="0.2">
      <c r="B35" s="10" t="s">
        <v>33</v>
      </c>
      <c r="C35" s="19"/>
      <c r="D35" s="19"/>
      <c r="E35" s="19"/>
      <c r="F35" s="44">
        <f t="shared" si="0"/>
        <v>0</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c r="D38" s="19"/>
      <c r="E38" s="19"/>
      <c r="F38" s="44">
        <f>C38/$G$2</f>
        <v>0</v>
      </c>
    </row>
    <row r="39" spans="2:6" x14ac:dyDescent="0.2">
      <c r="B39" s="10" t="s">
        <v>37</v>
      </c>
      <c r="C39" s="19"/>
      <c r="D39" s="19"/>
      <c r="E39" s="19"/>
      <c r="F39" s="19"/>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1</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4.8461538461538467</v>
      </c>
    </row>
    <row r="50" spans="2:9" ht="16" thickBot="1" x14ac:dyDescent="0.25"/>
    <row r="51" spans="2:9" ht="16" thickBot="1" x14ac:dyDescent="0.25">
      <c r="B51" s="141" t="s">
        <v>40</v>
      </c>
      <c r="C51" s="142"/>
      <c r="D51" s="143"/>
      <c r="E51" s="27"/>
      <c r="F51" s="129" t="s">
        <v>45</v>
      </c>
      <c r="G51" s="130"/>
      <c r="H51" s="130"/>
      <c r="I51" s="131"/>
    </row>
    <row r="52" spans="2:9" ht="16" thickBot="1" x14ac:dyDescent="0.25">
      <c r="B52" s="53" t="s">
        <v>10</v>
      </c>
      <c r="C52" s="54" t="s">
        <v>3</v>
      </c>
      <c r="D52" s="55" t="s">
        <v>2</v>
      </c>
      <c r="F52" s="145" t="s">
        <v>64</v>
      </c>
      <c r="G52" s="146"/>
      <c r="H52" s="146"/>
      <c r="I52" s="147"/>
    </row>
    <row r="53" spans="2:9" x14ac:dyDescent="0.2">
      <c r="B53" s="35">
        <v>12110</v>
      </c>
      <c r="C53" s="36">
        <v>472</v>
      </c>
      <c r="D53" s="37">
        <v>40</v>
      </c>
      <c r="F53" s="148"/>
      <c r="G53" s="149"/>
      <c r="H53" s="149"/>
      <c r="I53" s="150"/>
    </row>
    <row r="54" spans="2:9" ht="16" thickBot="1" x14ac:dyDescent="0.25">
      <c r="B54" s="41">
        <f>B53-1000</f>
        <v>11110</v>
      </c>
      <c r="C54" s="42">
        <v>472</v>
      </c>
      <c r="D54" s="43">
        <v>40</v>
      </c>
      <c r="F54" s="151"/>
      <c r="G54" s="152"/>
      <c r="H54" s="152"/>
      <c r="I54" s="153"/>
    </row>
  </sheetData>
  <mergeCells count="4">
    <mergeCell ref="C2:F2"/>
    <mergeCell ref="B51:D51"/>
    <mergeCell ref="F51:I51"/>
    <mergeCell ref="F52:I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8"/>
  <sheetViews>
    <sheetView topLeftCell="A26" workbookViewId="0">
      <selection activeCell="D38" sqref="D38"/>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520</v>
      </c>
      <c r="H2">
        <v>520</v>
      </c>
      <c r="I2">
        <v>520</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74+100+4</f>
        <v>178</v>
      </c>
      <c r="I4" s="6"/>
      <c r="J4" s="7">
        <f>+C4+D4+E4+F5+G5+H5+I4</f>
        <v>92560</v>
      </c>
      <c r="K4" s="7">
        <f>+J4/H2</f>
        <v>178</v>
      </c>
      <c r="L4" s="72">
        <f>K4-C8</f>
        <v>0</v>
      </c>
    </row>
    <row r="5" spans="2:12" ht="16" thickBot="1" x14ac:dyDescent="0.25">
      <c r="B5" s="8"/>
      <c r="C5" s="9"/>
      <c r="D5" s="9"/>
      <c r="E5" s="9"/>
      <c r="F5" s="10">
        <f>+F4*F2</f>
        <v>0</v>
      </c>
      <c r="G5" s="10">
        <f>+G4*G2</f>
        <v>0</v>
      </c>
      <c r="H5" s="10">
        <f>+H4*H2</f>
        <v>92560</v>
      </c>
      <c r="I5" s="10"/>
      <c r="J5" s="10"/>
      <c r="K5" s="10"/>
    </row>
    <row r="6" spans="2:12" ht="16" thickBot="1" x14ac:dyDescent="0.25"/>
    <row r="7" spans="2:12" x14ac:dyDescent="0.2">
      <c r="B7" s="11" t="s">
        <v>7</v>
      </c>
      <c r="C7" s="12"/>
      <c r="D7" s="25"/>
      <c r="E7" s="25"/>
    </row>
    <row r="8" spans="2:12" x14ac:dyDescent="0.2">
      <c r="B8" s="13" t="s">
        <v>8</v>
      </c>
      <c r="C8" s="10">
        <v>178</v>
      </c>
    </row>
    <row r="9" spans="2:12" x14ac:dyDescent="0.2">
      <c r="B9" s="14" t="s">
        <v>9</v>
      </c>
      <c r="C9" s="15" t="s">
        <v>10</v>
      </c>
      <c r="D9" s="15"/>
      <c r="E9" s="15"/>
      <c r="F9" s="15" t="s">
        <v>3</v>
      </c>
    </row>
    <row r="10" spans="2:12" x14ac:dyDescent="0.2">
      <c r="B10" s="10" t="s">
        <v>11</v>
      </c>
      <c r="C10" s="19">
        <f>+C47</f>
        <v>6000</v>
      </c>
      <c r="D10" s="10"/>
      <c r="E10" s="10"/>
      <c r="F10" s="16">
        <f>+F47</f>
        <v>115.53846153846153</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9">
        <v>75</v>
      </c>
      <c r="D17" s="10"/>
      <c r="E17" s="10"/>
      <c r="F17" s="19">
        <f>C17/G2</f>
        <v>0.14423076923076922</v>
      </c>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6075</v>
      </c>
      <c r="D30" s="13"/>
      <c r="E30" s="13"/>
      <c r="F30" s="17">
        <f>SUM(F10:F20)+F24+F25+F26+F27+F28+F29</f>
        <v>115.68269230769231</v>
      </c>
    </row>
    <row r="33" spans="2:6" x14ac:dyDescent="0.2">
      <c r="B33" s="14" t="s">
        <v>11</v>
      </c>
      <c r="C33" s="15" t="s">
        <v>10</v>
      </c>
      <c r="D33" s="15"/>
      <c r="E33" s="15"/>
      <c r="F33" s="15" t="s">
        <v>3</v>
      </c>
    </row>
    <row r="34" spans="2:6" x14ac:dyDescent="0.2">
      <c r="B34" s="10" t="s">
        <v>32</v>
      </c>
      <c r="C34" s="18"/>
      <c r="D34" s="18"/>
      <c r="E34" s="18"/>
      <c r="F34" s="44">
        <f t="shared" ref="F34:F37" si="0">C34/$G$2</f>
        <v>0</v>
      </c>
    </row>
    <row r="35" spans="2:6" x14ac:dyDescent="0.2">
      <c r="B35" s="10" t="s">
        <v>33</v>
      </c>
      <c r="C35" s="19">
        <v>2000</v>
      </c>
      <c r="D35" s="19"/>
      <c r="E35" s="19"/>
      <c r="F35" s="44">
        <f t="shared" si="0"/>
        <v>3.8461538461538463</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v>4000</v>
      </c>
      <c r="D38" s="19"/>
      <c r="E38" s="19"/>
      <c r="F38" s="44">
        <f>C38/$G$2</f>
        <v>7.6923076923076925</v>
      </c>
    </row>
    <row r="39" spans="2:6" x14ac:dyDescent="0.2">
      <c r="B39" s="10" t="s">
        <v>37</v>
      </c>
      <c r="C39" s="19"/>
      <c r="D39" s="19"/>
      <c r="E39" s="19"/>
      <c r="F39" s="44">
        <v>100</v>
      </c>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4</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6000</v>
      </c>
      <c r="D47" s="26"/>
      <c r="E47" s="26"/>
      <c r="F47" s="26">
        <f>SUM(F34:F46)</f>
        <v>115.53846153846153</v>
      </c>
    </row>
    <row r="50" spans="2:9" ht="16" thickBot="1" x14ac:dyDescent="0.25"/>
    <row r="51" spans="2:9" ht="16" thickBot="1" x14ac:dyDescent="0.25">
      <c r="B51" s="141" t="s">
        <v>40</v>
      </c>
      <c r="C51" s="142"/>
      <c r="D51" s="143"/>
      <c r="E51" s="27"/>
      <c r="F51" s="155" t="s">
        <v>45</v>
      </c>
      <c r="G51" s="155"/>
      <c r="H51" s="155"/>
      <c r="I51" s="155"/>
    </row>
    <row r="52" spans="2:9" ht="16" thickBot="1" x14ac:dyDescent="0.25">
      <c r="B52" s="53" t="s">
        <v>10</v>
      </c>
      <c r="C52" s="54" t="s">
        <v>3</v>
      </c>
      <c r="D52" s="55" t="s">
        <v>2</v>
      </c>
      <c r="F52" s="156" t="s">
        <v>49</v>
      </c>
      <c r="G52" s="157"/>
      <c r="H52" s="157"/>
      <c r="I52" s="158"/>
    </row>
    <row r="53" spans="2:9" x14ac:dyDescent="0.2">
      <c r="B53" s="35">
        <v>11110</v>
      </c>
      <c r="C53" s="36">
        <v>472</v>
      </c>
      <c r="D53" s="37">
        <v>40</v>
      </c>
      <c r="F53" s="159"/>
      <c r="G53" s="149"/>
      <c r="H53" s="149"/>
      <c r="I53" s="160"/>
    </row>
    <row r="54" spans="2:9" ht="16" thickBot="1" x14ac:dyDescent="0.25">
      <c r="B54" s="41">
        <f>B53-(6000+75)</f>
        <v>5035</v>
      </c>
      <c r="C54" s="42">
        <v>472</v>
      </c>
      <c r="D54" s="43">
        <v>40</v>
      </c>
      <c r="F54" s="159"/>
      <c r="G54" s="149"/>
      <c r="H54" s="149"/>
      <c r="I54" s="160"/>
    </row>
    <row r="55" spans="2:9" x14ac:dyDescent="0.2">
      <c r="F55" s="159"/>
      <c r="G55" s="149"/>
      <c r="H55" s="149"/>
      <c r="I55" s="160"/>
    </row>
    <row r="56" spans="2:9" x14ac:dyDescent="0.2">
      <c r="F56" s="159"/>
      <c r="G56" s="149"/>
      <c r="H56" s="149"/>
      <c r="I56" s="160"/>
    </row>
    <row r="57" spans="2:9" x14ac:dyDescent="0.2">
      <c r="F57" s="159"/>
      <c r="G57" s="149"/>
      <c r="H57" s="149"/>
      <c r="I57" s="160"/>
    </row>
    <row r="58" spans="2:9" x14ac:dyDescent="0.2">
      <c r="F58" s="161"/>
      <c r="G58" s="162"/>
      <c r="H58" s="162"/>
      <c r="I58" s="163"/>
    </row>
  </sheetData>
  <mergeCells count="4">
    <mergeCell ref="C2:F2"/>
    <mergeCell ref="B51:D51"/>
    <mergeCell ref="F51:I51"/>
    <mergeCell ref="F52:I5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L61"/>
  <sheetViews>
    <sheetView topLeftCell="A43" workbookViewId="0">
      <selection activeCell="J60" sqref="J60"/>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520</v>
      </c>
      <c r="H2">
        <v>520</v>
      </c>
      <c r="I2">
        <v>520</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103</f>
        <v>103</v>
      </c>
      <c r="I4" s="6"/>
      <c r="J4" s="7">
        <f>+C4+D4+E4+F5+G5+H5+I4</f>
        <v>53560</v>
      </c>
      <c r="K4" s="7">
        <f>+J4/H2</f>
        <v>103</v>
      </c>
      <c r="L4" s="75">
        <f>K4-C8</f>
        <v>-2</v>
      </c>
    </row>
    <row r="5" spans="2:12" ht="16" thickBot="1" x14ac:dyDescent="0.25">
      <c r="B5" s="8"/>
      <c r="C5" s="9"/>
      <c r="D5" s="9"/>
      <c r="E5" s="9"/>
      <c r="F5" s="10">
        <f>+F4*F2</f>
        <v>0</v>
      </c>
      <c r="G5" s="10">
        <f>+G4*G2</f>
        <v>0</v>
      </c>
      <c r="H5" s="10">
        <f>+H4*H2</f>
        <v>53560</v>
      </c>
      <c r="I5" s="10"/>
      <c r="J5" s="10"/>
      <c r="K5" s="10"/>
    </row>
    <row r="6" spans="2:12" ht="16" thickBot="1" x14ac:dyDescent="0.25"/>
    <row r="7" spans="2:12" x14ac:dyDescent="0.2">
      <c r="B7" s="11" t="s">
        <v>7</v>
      </c>
      <c r="C7" s="12"/>
      <c r="D7" s="25"/>
      <c r="E7" s="25"/>
    </row>
    <row r="8" spans="2:12" x14ac:dyDescent="0.2">
      <c r="B8" s="13" t="s">
        <v>8</v>
      </c>
      <c r="C8" s="10">
        <v>105</v>
      </c>
    </row>
    <row r="9" spans="2:12" x14ac:dyDescent="0.2">
      <c r="B9" s="14" t="s">
        <v>9</v>
      </c>
      <c r="C9" s="15" t="s">
        <v>10</v>
      </c>
      <c r="D9" s="15"/>
      <c r="E9" s="15"/>
      <c r="F9" s="15" t="s">
        <v>3</v>
      </c>
    </row>
    <row r="10" spans="2:12" x14ac:dyDescent="0.2">
      <c r="B10" s="10" t="s">
        <v>11</v>
      </c>
      <c r="C10" s="19">
        <f>+C47</f>
        <v>2000</v>
      </c>
      <c r="D10" s="10"/>
      <c r="E10" s="10"/>
      <c r="F10" s="16">
        <f>+F47</f>
        <v>6.8461538461538467</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6.8461538461538467</v>
      </c>
    </row>
    <row r="33" spans="2:6" x14ac:dyDescent="0.2">
      <c r="B33" s="14" t="s">
        <v>11</v>
      </c>
      <c r="C33" s="15" t="s">
        <v>10</v>
      </c>
      <c r="D33" s="15"/>
      <c r="E33" s="15"/>
      <c r="F33" s="15" t="s">
        <v>3</v>
      </c>
    </row>
    <row r="34" spans="2:6" x14ac:dyDescent="0.2">
      <c r="B34" s="10" t="s">
        <v>32</v>
      </c>
      <c r="C34" s="18"/>
      <c r="D34" s="18"/>
      <c r="E34" s="18"/>
      <c r="F34" s="44">
        <f t="shared" ref="F34:F37" si="0">C34/$G$2</f>
        <v>0</v>
      </c>
    </row>
    <row r="35" spans="2:6" x14ac:dyDescent="0.2">
      <c r="B35" s="10" t="s">
        <v>33</v>
      </c>
      <c r="C35" s="19"/>
      <c r="D35" s="19"/>
      <c r="E35" s="19"/>
      <c r="F35" s="44">
        <f t="shared" si="0"/>
        <v>0</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v>2000</v>
      </c>
      <c r="D38" s="19"/>
      <c r="E38" s="19"/>
      <c r="F38" s="44">
        <f>C38/$G$2</f>
        <v>3.8461538461538463</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67">
        <f>ROUNDUP(K4*0.02,0)</f>
        <v>3</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6.8461538461538467</v>
      </c>
    </row>
    <row r="50" spans="2:9" ht="16" thickBot="1" x14ac:dyDescent="0.25"/>
    <row r="51" spans="2:9" ht="16" thickBot="1" x14ac:dyDescent="0.25">
      <c r="B51" s="141" t="s">
        <v>40</v>
      </c>
      <c r="C51" s="142"/>
      <c r="D51" s="143"/>
      <c r="E51" s="27"/>
      <c r="F51" s="141" t="s">
        <v>45</v>
      </c>
      <c r="G51" s="142"/>
      <c r="H51" s="142"/>
      <c r="I51" s="143"/>
    </row>
    <row r="52" spans="2:9" ht="15" customHeight="1" thickBot="1" x14ac:dyDescent="0.25">
      <c r="B52" s="53" t="s">
        <v>10</v>
      </c>
      <c r="C52" s="54" t="s">
        <v>3</v>
      </c>
      <c r="D52" s="55" t="s">
        <v>2</v>
      </c>
      <c r="F52" s="145" t="s">
        <v>50</v>
      </c>
      <c r="G52" s="146"/>
      <c r="H52" s="146"/>
      <c r="I52" s="147"/>
    </row>
    <row r="53" spans="2:9" x14ac:dyDescent="0.2">
      <c r="B53" s="74">
        <v>5040</v>
      </c>
      <c r="C53" s="36">
        <v>472</v>
      </c>
      <c r="D53" s="37">
        <v>40</v>
      </c>
      <c r="F53" s="148"/>
      <c r="G53" s="149"/>
      <c r="H53" s="149"/>
      <c r="I53" s="150"/>
    </row>
    <row r="54" spans="2:9" ht="16" thickBot="1" x14ac:dyDescent="0.25">
      <c r="B54" s="41">
        <f>B53-2000</f>
        <v>3040</v>
      </c>
      <c r="C54" s="42">
        <f>C53+2</f>
        <v>474</v>
      </c>
      <c r="D54" s="43">
        <v>40</v>
      </c>
      <c r="F54" s="148"/>
      <c r="G54" s="149"/>
      <c r="H54" s="149"/>
      <c r="I54" s="150"/>
    </row>
    <row r="55" spans="2:9" ht="16" thickBot="1" x14ac:dyDescent="0.25">
      <c r="F55" s="151"/>
      <c r="G55" s="152"/>
      <c r="H55" s="152"/>
      <c r="I55" s="153"/>
    </row>
    <row r="56" spans="2:9" ht="14.5" customHeight="1" x14ac:dyDescent="0.2">
      <c r="F56" s="145" t="s">
        <v>142</v>
      </c>
      <c r="G56" s="146"/>
      <c r="H56" s="146"/>
      <c r="I56" s="147"/>
    </row>
    <row r="57" spans="2:9" x14ac:dyDescent="0.2">
      <c r="F57" s="148"/>
      <c r="G57" s="149"/>
      <c r="H57" s="149"/>
      <c r="I57" s="150"/>
    </row>
    <row r="58" spans="2:9" x14ac:dyDescent="0.2">
      <c r="F58" s="148"/>
      <c r="G58" s="149"/>
      <c r="H58" s="149"/>
      <c r="I58" s="150"/>
    </row>
    <row r="59" spans="2:9" x14ac:dyDescent="0.2">
      <c r="F59" s="148"/>
      <c r="G59" s="149"/>
      <c r="H59" s="149"/>
      <c r="I59" s="150"/>
    </row>
    <row r="60" spans="2:9" x14ac:dyDescent="0.2">
      <c r="F60" s="148"/>
      <c r="G60" s="149"/>
      <c r="H60" s="149"/>
      <c r="I60" s="150"/>
    </row>
    <row r="61" spans="2:9" ht="16" thickBot="1" x14ac:dyDescent="0.25">
      <c r="F61" s="151"/>
      <c r="G61" s="152"/>
      <c r="H61" s="152"/>
      <c r="I61" s="153"/>
    </row>
  </sheetData>
  <mergeCells count="5">
    <mergeCell ref="F56:I61"/>
    <mergeCell ref="C2:F2"/>
    <mergeCell ref="B51:D51"/>
    <mergeCell ref="F51:I51"/>
    <mergeCell ref="F52:I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7"/>
  <sheetViews>
    <sheetView topLeftCell="A14" workbookViewId="0">
      <selection activeCell="M10" sqref="M10"/>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520</v>
      </c>
      <c r="H2">
        <v>520</v>
      </c>
      <c r="I2">
        <v>520</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110+47+3</f>
        <v>160</v>
      </c>
      <c r="I4" s="6"/>
      <c r="J4" s="7">
        <f>+C4+D4+E4+F5+G5+H5+I4</f>
        <v>83200</v>
      </c>
      <c r="K4" s="7">
        <f>+J4/H2</f>
        <v>160</v>
      </c>
      <c r="L4" s="72">
        <f>K4-C8</f>
        <v>0</v>
      </c>
    </row>
    <row r="5" spans="2:12" ht="16" thickBot="1" x14ac:dyDescent="0.25">
      <c r="B5" s="8"/>
      <c r="C5" s="9"/>
      <c r="D5" s="9"/>
      <c r="E5" s="9"/>
      <c r="F5" s="10">
        <f>+F4*F2</f>
        <v>0</v>
      </c>
      <c r="G5" s="10">
        <f>+G4*G2</f>
        <v>0</v>
      </c>
      <c r="H5" s="10">
        <f>+H4*H2</f>
        <v>83200</v>
      </c>
      <c r="I5" s="10"/>
      <c r="J5" s="10"/>
      <c r="K5" s="10"/>
    </row>
    <row r="6" spans="2:12" ht="16" thickBot="1" x14ac:dyDescent="0.25"/>
    <row r="7" spans="2:12" x14ac:dyDescent="0.2">
      <c r="B7" s="11" t="s">
        <v>7</v>
      </c>
      <c r="C7" s="12"/>
      <c r="D7" s="25"/>
      <c r="E7" s="25"/>
    </row>
    <row r="8" spans="2:12" x14ac:dyDescent="0.2">
      <c r="B8" s="13" t="s">
        <v>8</v>
      </c>
      <c r="C8" s="10">
        <v>160</v>
      </c>
    </row>
    <row r="9" spans="2:12" x14ac:dyDescent="0.2">
      <c r="B9" s="14" t="s">
        <v>9</v>
      </c>
      <c r="C9" s="15" t="s">
        <v>10</v>
      </c>
      <c r="D9" s="15"/>
      <c r="E9" s="15"/>
      <c r="F9" s="15" t="s">
        <v>3</v>
      </c>
    </row>
    <row r="10" spans="2:12" x14ac:dyDescent="0.2">
      <c r="B10" s="10" t="s">
        <v>11</v>
      </c>
      <c r="C10" s="19">
        <f>+C47</f>
        <v>2000</v>
      </c>
      <c r="D10" s="10"/>
      <c r="E10" s="10"/>
      <c r="F10" s="16">
        <f>+F47</f>
        <v>7.8461538461538467</v>
      </c>
    </row>
    <row r="11" spans="2:12" x14ac:dyDescent="0.2">
      <c r="B11" s="10" t="s">
        <v>12</v>
      </c>
      <c r="C11" s="10"/>
      <c r="D11" s="10"/>
      <c r="E11" s="10"/>
      <c r="F11" s="10">
        <v>300</v>
      </c>
    </row>
    <row r="12" spans="2:12" x14ac:dyDescent="0.2">
      <c r="B12" s="10" t="s">
        <v>13</v>
      </c>
      <c r="C12" s="10"/>
      <c r="D12" s="10"/>
      <c r="E12" s="10"/>
      <c r="F12" s="10"/>
    </row>
    <row r="13" spans="2:12" x14ac:dyDescent="0.2">
      <c r="B13" s="10" t="s">
        <v>14</v>
      </c>
      <c r="C13" s="10"/>
      <c r="D13" s="10"/>
      <c r="E13" s="10"/>
      <c r="F13" s="10">
        <v>47</v>
      </c>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354.84615384615387</v>
      </c>
    </row>
    <row r="33" spans="2:6" x14ac:dyDescent="0.2">
      <c r="B33" s="14" t="s">
        <v>11</v>
      </c>
      <c r="C33" s="15" t="s">
        <v>10</v>
      </c>
      <c r="D33" s="15"/>
      <c r="E33" s="15"/>
      <c r="F33" s="15" t="s">
        <v>3</v>
      </c>
    </row>
    <row r="34" spans="2:6" x14ac:dyDescent="0.2">
      <c r="B34" s="10" t="s">
        <v>32</v>
      </c>
      <c r="C34" s="18"/>
      <c r="D34" s="18"/>
      <c r="E34" s="18"/>
      <c r="F34" s="44">
        <f t="shared" ref="F34:F37" si="0">C34/$H$2</f>
        <v>0</v>
      </c>
    </row>
    <row r="35" spans="2:6" x14ac:dyDescent="0.2">
      <c r="B35" s="10" t="s">
        <v>33</v>
      </c>
      <c r="C35" s="19"/>
      <c r="D35" s="19"/>
      <c r="E35" s="19"/>
      <c r="F35" s="44">
        <f t="shared" si="0"/>
        <v>0</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v>2000</v>
      </c>
      <c r="D38" s="19"/>
      <c r="E38" s="19"/>
      <c r="F38" s="44">
        <f>C38/$H$2</f>
        <v>3.8461538461538463</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4</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7.8461538461538467</v>
      </c>
    </row>
    <row r="50" spans="1:9" ht="16" thickBot="1" x14ac:dyDescent="0.25"/>
    <row r="51" spans="1:9" ht="16" thickBot="1" x14ac:dyDescent="0.25">
      <c r="B51" s="141" t="s">
        <v>40</v>
      </c>
      <c r="C51" s="142"/>
      <c r="D51" s="143"/>
      <c r="E51" s="27"/>
      <c r="F51" s="164" t="s">
        <v>45</v>
      </c>
      <c r="G51" s="165"/>
      <c r="H51" s="165"/>
      <c r="I51" s="166"/>
    </row>
    <row r="52" spans="1:9" ht="16" thickBot="1" x14ac:dyDescent="0.25">
      <c r="B52" s="53" t="s">
        <v>10</v>
      </c>
      <c r="C52" s="54" t="s">
        <v>3</v>
      </c>
      <c r="D52" s="55" t="s">
        <v>2</v>
      </c>
      <c r="F52" s="145" t="s">
        <v>52</v>
      </c>
      <c r="G52" s="146"/>
      <c r="H52" s="146"/>
      <c r="I52" s="147"/>
    </row>
    <row r="53" spans="1:9" x14ac:dyDescent="0.2">
      <c r="A53" s="56" t="s">
        <v>51</v>
      </c>
      <c r="B53" s="35">
        <v>3040</v>
      </c>
      <c r="C53" s="36">
        <v>474</v>
      </c>
      <c r="D53" s="37">
        <v>40</v>
      </c>
      <c r="F53" s="148"/>
      <c r="G53" s="149"/>
      <c r="H53" s="149"/>
      <c r="I53" s="150"/>
    </row>
    <row r="54" spans="1:9" ht="16" thickBot="1" x14ac:dyDescent="0.25">
      <c r="A54" s="56" t="s">
        <v>42</v>
      </c>
      <c r="B54" s="41">
        <f>B53-2000</f>
        <v>1040</v>
      </c>
      <c r="C54" s="42">
        <v>474</v>
      </c>
      <c r="D54" s="43">
        <v>40</v>
      </c>
      <c r="F54" s="148"/>
      <c r="G54" s="149"/>
      <c r="H54" s="149"/>
      <c r="I54" s="150"/>
    </row>
    <row r="55" spans="1:9" ht="16" thickBot="1" x14ac:dyDescent="0.25">
      <c r="F55" s="151"/>
      <c r="G55" s="152"/>
      <c r="H55" s="152"/>
      <c r="I55" s="153"/>
    </row>
    <row r="56" spans="1:9" ht="15" customHeight="1" x14ac:dyDescent="0.2">
      <c r="F56" s="145" t="s">
        <v>70</v>
      </c>
      <c r="G56" s="146"/>
      <c r="H56" s="146"/>
      <c r="I56" s="147"/>
    </row>
    <row r="57" spans="1:9" ht="16" thickBot="1" x14ac:dyDescent="0.25">
      <c r="F57" s="151"/>
      <c r="G57" s="152"/>
      <c r="H57" s="152"/>
      <c r="I57" s="153"/>
    </row>
  </sheetData>
  <mergeCells count="5">
    <mergeCell ref="C2:F2"/>
    <mergeCell ref="B51:D51"/>
    <mergeCell ref="F51:I51"/>
    <mergeCell ref="F52:I55"/>
    <mergeCell ref="F56:I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1"/>
  <sheetViews>
    <sheetView topLeftCell="B5" workbookViewId="0">
      <selection activeCell="L9" sqref="L9"/>
    </sheetView>
  </sheetViews>
  <sheetFormatPr baseColWidth="10" defaultColWidth="11.5" defaultRowHeight="15" x14ac:dyDescent="0.2"/>
  <cols>
    <col min="2" max="2" width="26.33203125" bestFit="1" customWidth="1"/>
    <col min="6" max="6" width="21.33203125" bestFit="1" customWidth="1"/>
  </cols>
  <sheetData>
    <row r="1" spans="2:13" ht="16" thickBot="1" x14ac:dyDescent="0.25"/>
    <row r="2" spans="2:13" ht="16" thickBot="1" x14ac:dyDescent="0.25">
      <c r="C2" s="126" t="s">
        <v>43</v>
      </c>
      <c r="D2" s="127"/>
      <c r="E2" s="127"/>
      <c r="F2" s="128"/>
      <c r="G2">
        <v>523</v>
      </c>
      <c r="H2">
        <v>523</v>
      </c>
      <c r="I2">
        <v>523</v>
      </c>
    </row>
    <row r="3" spans="2:13" ht="16" thickBot="1" x14ac:dyDescent="0.25">
      <c r="B3" s="1" t="s">
        <v>0</v>
      </c>
      <c r="C3" s="21">
        <v>2236</v>
      </c>
      <c r="D3" s="21">
        <v>4910</v>
      </c>
      <c r="E3" s="21">
        <v>4660</v>
      </c>
      <c r="F3" s="22" t="s">
        <v>1</v>
      </c>
      <c r="G3" s="23" t="s">
        <v>2</v>
      </c>
      <c r="H3" s="24" t="s">
        <v>3</v>
      </c>
      <c r="I3" s="23" t="s">
        <v>4</v>
      </c>
      <c r="J3" s="3" t="s">
        <v>5</v>
      </c>
      <c r="K3" s="2" t="s">
        <v>6</v>
      </c>
      <c r="L3" s="2" t="s">
        <v>71</v>
      </c>
    </row>
    <row r="4" spans="2:13" ht="16" thickBot="1" x14ac:dyDescent="0.25">
      <c r="B4" s="4"/>
      <c r="C4" s="5">
        <v>0</v>
      </c>
      <c r="D4" s="5">
        <v>78450</v>
      </c>
      <c r="E4" s="5">
        <v>30334</v>
      </c>
      <c r="F4" s="6">
        <v>0</v>
      </c>
      <c r="G4" s="6">
        <v>0</v>
      </c>
      <c r="H4" s="6">
        <f>29+6</f>
        <v>35</v>
      </c>
      <c r="I4">
        <f>23150+4000-1000</f>
        <v>26150</v>
      </c>
      <c r="J4" s="7">
        <f>+C4+D4+E4+F5+G5+H5+I4</f>
        <v>153239</v>
      </c>
      <c r="K4" s="7">
        <f>+J4/H2</f>
        <v>293</v>
      </c>
      <c r="L4" s="72">
        <f>K4-C8</f>
        <v>0</v>
      </c>
    </row>
    <row r="5" spans="2:13" ht="16" thickBot="1" x14ac:dyDescent="0.25">
      <c r="B5" s="8"/>
      <c r="C5" s="9"/>
      <c r="D5" s="9"/>
      <c r="E5" s="9"/>
      <c r="F5" s="10">
        <f>+F4*F2</f>
        <v>0</v>
      </c>
      <c r="G5" s="10">
        <f>+G4*G2</f>
        <v>0</v>
      </c>
      <c r="H5" s="10">
        <f>+H4*H2</f>
        <v>18305</v>
      </c>
      <c r="I5" s="10"/>
      <c r="J5" s="10"/>
      <c r="K5" s="10"/>
    </row>
    <row r="6" spans="2:13" ht="16" thickBot="1" x14ac:dyDescent="0.25"/>
    <row r="7" spans="2:13" x14ac:dyDescent="0.2">
      <c r="B7" s="11" t="s">
        <v>7</v>
      </c>
      <c r="C7" s="12"/>
      <c r="D7" s="25"/>
      <c r="E7" s="25"/>
      <c r="M7" s="57"/>
    </row>
    <row r="8" spans="2:13" x14ac:dyDescent="0.2">
      <c r="B8" s="13" t="s">
        <v>8</v>
      </c>
      <c r="C8" s="10">
        <v>293</v>
      </c>
    </row>
    <row r="9" spans="2:13" x14ac:dyDescent="0.2">
      <c r="B9" s="14" t="s">
        <v>9</v>
      </c>
      <c r="C9" s="15" t="s">
        <v>10</v>
      </c>
      <c r="D9" s="15"/>
      <c r="E9" s="15"/>
      <c r="F9" s="15" t="s">
        <v>3</v>
      </c>
    </row>
    <row r="10" spans="2:13" x14ac:dyDescent="0.2">
      <c r="B10" s="10" t="s">
        <v>11</v>
      </c>
      <c r="C10" s="19">
        <f>+C47</f>
        <v>5000</v>
      </c>
      <c r="D10" s="10"/>
      <c r="E10" s="10"/>
      <c r="F10" s="16">
        <f>+F47</f>
        <v>15.560229445506693</v>
      </c>
    </row>
    <row r="11" spans="2:13" x14ac:dyDescent="0.2">
      <c r="B11" s="10" t="s">
        <v>12</v>
      </c>
      <c r="C11" s="10"/>
      <c r="D11" s="10"/>
      <c r="E11" s="10"/>
      <c r="F11" s="10"/>
      <c r="I11" s="6"/>
    </row>
    <row r="12" spans="2:13" x14ac:dyDescent="0.2">
      <c r="B12" s="10" t="s">
        <v>13</v>
      </c>
      <c r="C12" s="10"/>
      <c r="D12" s="10"/>
      <c r="E12" s="10"/>
      <c r="F12" s="10"/>
    </row>
    <row r="13" spans="2:13" x14ac:dyDescent="0.2">
      <c r="B13" s="10" t="s">
        <v>14</v>
      </c>
      <c r="C13" s="10"/>
      <c r="D13" s="10"/>
      <c r="E13" s="10"/>
      <c r="F13" s="10"/>
    </row>
    <row r="14" spans="2:13" x14ac:dyDescent="0.2">
      <c r="B14" s="10" t="s">
        <v>15</v>
      </c>
      <c r="C14" s="10"/>
      <c r="D14" s="10"/>
      <c r="E14" s="10"/>
      <c r="F14" s="10"/>
    </row>
    <row r="15" spans="2:13" x14ac:dyDescent="0.2">
      <c r="B15" s="10" t="s">
        <v>16</v>
      </c>
      <c r="C15" s="10"/>
      <c r="D15" s="10"/>
      <c r="E15" s="10"/>
      <c r="F15" s="10"/>
    </row>
    <row r="16" spans="2:13"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5000</v>
      </c>
      <c r="D30" s="13"/>
      <c r="E30" s="13"/>
      <c r="F30" s="17">
        <f>SUM(F10:F20)+F24+F25+F26+F27+F28+F29</f>
        <v>15.560229445506693</v>
      </c>
    </row>
    <row r="33" spans="2:6" x14ac:dyDescent="0.2">
      <c r="B33" s="14" t="s">
        <v>11</v>
      </c>
      <c r="C33" s="15" t="s">
        <v>10</v>
      </c>
      <c r="D33" s="15"/>
      <c r="E33" s="15"/>
      <c r="F33" s="15" t="s">
        <v>3</v>
      </c>
    </row>
    <row r="34" spans="2:6" x14ac:dyDescent="0.2">
      <c r="B34" s="10" t="s">
        <v>32</v>
      </c>
      <c r="C34" s="18">
        <v>2000</v>
      </c>
      <c r="D34" s="18"/>
      <c r="E34" s="18"/>
      <c r="F34" s="44">
        <f t="shared" ref="F34:F37" si="0">C34/$H$2</f>
        <v>3.8240917782026767</v>
      </c>
    </row>
    <row r="35" spans="2:6" x14ac:dyDescent="0.2">
      <c r="B35" s="10" t="s">
        <v>33</v>
      </c>
      <c r="C35" s="19">
        <v>1000</v>
      </c>
      <c r="D35" s="19"/>
      <c r="E35" s="19"/>
      <c r="F35" s="44">
        <f t="shared" si="0"/>
        <v>1.9120458891013383</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v>2000</v>
      </c>
      <c r="D38" s="19"/>
      <c r="E38" s="19"/>
      <c r="F38" s="44">
        <f>C38/$H$2</f>
        <v>3.8240917782026767</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6</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5000</v>
      </c>
      <c r="D47" s="26"/>
      <c r="E47" s="26"/>
      <c r="F47" s="26">
        <f>SUM(F34:F46)</f>
        <v>15.560229445506693</v>
      </c>
    </row>
    <row r="49" spans="1:9" ht="16" thickBot="1" x14ac:dyDescent="0.25"/>
    <row r="50" spans="1:9" ht="16" thickBot="1" x14ac:dyDescent="0.25">
      <c r="B50" s="141" t="s">
        <v>40</v>
      </c>
      <c r="C50" s="142"/>
      <c r="D50" s="143"/>
    </row>
    <row r="51" spans="1:9" ht="16" thickBot="1" x14ac:dyDescent="0.25">
      <c r="B51" s="53" t="s">
        <v>10</v>
      </c>
      <c r="C51" s="54" t="s">
        <v>3</v>
      </c>
      <c r="D51" s="55" t="s">
        <v>2</v>
      </c>
      <c r="E51" s="27"/>
      <c r="F51" s="141" t="s">
        <v>45</v>
      </c>
      <c r="G51" s="142"/>
      <c r="H51" s="142"/>
      <c r="I51" s="143"/>
    </row>
    <row r="52" spans="1:9" x14ac:dyDescent="0.2">
      <c r="A52" s="56" t="s">
        <v>51</v>
      </c>
      <c r="B52" s="35">
        <v>1040</v>
      </c>
      <c r="C52" s="36">
        <v>474</v>
      </c>
      <c r="D52" s="37">
        <v>40</v>
      </c>
      <c r="F52" s="145" t="s">
        <v>52</v>
      </c>
      <c r="G52" s="146"/>
      <c r="H52" s="146"/>
      <c r="I52" s="147"/>
    </row>
    <row r="53" spans="1:9" ht="16" thickBot="1" x14ac:dyDescent="0.25">
      <c r="A53" s="56" t="s">
        <v>42</v>
      </c>
      <c r="B53" s="41">
        <v>1040</v>
      </c>
      <c r="C53" s="42">
        <v>474</v>
      </c>
      <c r="D53" s="43">
        <v>40</v>
      </c>
      <c r="F53" s="148"/>
      <c r="G53" s="149"/>
      <c r="H53" s="149"/>
      <c r="I53" s="150"/>
    </row>
    <row r="54" spans="1:9" ht="15" customHeight="1" x14ac:dyDescent="0.2">
      <c r="F54" s="145" t="s">
        <v>65</v>
      </c>
      <c r="G54" s="146"/>
      <c r="H54" s="146"/>
      <c r="I54" s="147"/>
    </row>
    <row r="55" spans="1:9" x14ac:dyDescent="0.2">
      <c r="F55" s="148"/>
      <c r="G55" s="149"/>
      <c r="H55" s="149"/>
      <c r="I55" s="150"/>
    </row>
    <row r="56" spans="1:9" x14ac:dyDescent="0.2">
      <c r="F56" s="148"/>
      <c r="G56" s="149"/>
      <c r="H56" s="149"/>
      <c r="I56" s="150"/>
    </row>
    <row r="57" spans="1:9" ht="16" thickBot="1" x14ac:dyDescent="0.25">
      <c r="F57" s="148"/>
      <c r="G57" s="149"/>
      <c r="H57" s="149"/>
      <c r="I57" s="150"/>
    </row>
    <row r="58" spans="1:9" ht="14.5" customHeight="1" x14ac:dyDescent="0.2">
      <c r="F58" s="167" t="s">
        <v>66</v>
      </c>
      <c r="G58" s="167"/>
      <c r="H58" s="167"/>
      <c r="I58" s="167"/>
    </row>
    <row r="59" spans="1:9" x14ac:dyDescent="0.2">
      <c r="F59" s="168"/>
      <c r="G59" s="168"/>
      <c r="H59" s="168"/>
      <c r="I59" s="168"/>
    </row>
    <row r="60" spans="1:9" x14ac:dyDescent="0.2">
      <c r="F60" s="168"/>
      <c r="G60" s="168"/>
      <c r="H60" s="168"/>
      <c r="I60" s="168"/>
    </row>
    <row r="61" spans="1:9" x14ac:dyDescent="0.2">
      <c r="F61" s="168"/>
      <c r="G61" s="168"/>
      <c r="H61" s="168"/>
      <c r="I61" s="168"/>
    </row>
  </sheetData>
  <mergeCells count="6">
    <mergeCell ref="F58:I61"/>
    <mergeCell ref="B50:D50"/>
    <mergeCell ref="F54:I57"/>
    <mergeCell ref="C2:F2"/>
    <mergeCell ref="F51:I51"/>
    <mergeCell ref="F52:I5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62"/>
  <sheetViews>
    <sheetView topLeftCell="A17" workbookViewId="0">
      <selection activeCell="F10" sqref="F10"/>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523</v>
      </c>
      <c r="H2">
        <v>523</v>
      </c>
      <c r="I2">
        <v>523</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467+10</f>
        <v>477</v>
      </c>
      <c r="I4" s="6"/>
      <c r="J4" s="7">
        <f>+C4+D4+E4+F5+G5+H5+I4</f>
        <v>249471</v>
      </c>
      <c r="K4" s="7">
        <f>+J4/$H$2</f>
        <v>477</v>
      </c>
      <c r="L4" s="72">
        <f>K4-C8</f>
        <v>0</v>
      </c>
    </row>
    <row r="5" spans="2:12" ht="16" thickBot="1" x14ac:dyDescent="0.25">
      <c r="B5" s="8"/>
      <c r="C5" s="9"/>
      <c r="D5" s="9"/>
      <c r="E5" s="9"/>
      <c r="F5" s="10">
        <f>+F4*F2</f>
        <v>0</v>
      </c>
      <c r="G5" s="10">
        <f>+G4*G2</f>
        <v>0</v>
      </c>
      <c r="H5" s="10">
        <f>+H4*H2</f>
        <v>249471</v>
      </c>
      <c r="I5" s="10"/>
      <c r="J5" s="10"/>
      <c r="K5" s="10"/>
    </row>
    <row r="6" spans="2:12" ht="16" thickBot="1" x14ac:dyDescent="0.25"/>
    <row r="7" spans="2:12" x14ac:dyDescent="0.2">
      <c r="B7" s="11" t="s">
        <v>7</v>
      </c>
      <c r="C7" s="12"/>
      <c r="D7" s="25"/>
      <c r="E7" s="25"/>
    </row>
    <row r="8" spans="2:12" x14ac:dyDescent="0.2">
      <c r="B8" s="13" t="s">
        <v>8</v>
      </c>
      <c r="C8" s="10">
        <v>477</v>
      </c>
    </row>
    <row r="9" spans="2:12" x14ac:dyDescent="0.2">
      <c r="B9" s="14" t="s">
        <v>9</v>
      </c>
      <c r="C9" s="15" t="s">
        <v>10</v>
      </c>
      <c r="D9" s="15"/>
      <c r="E9" s="15"/>
      <c r="F9" s="15" t="s">
        <v>3</v>
      </c>
    </row>
    <row r="10" spans="2:12" x14ac:dyDescent="0.2">
      <c r="B10" s="10" t="s">
        <v>11</v>
      </c>
      <c r="C10" s="19">
        <f>+C47</f>
        <v>1000</v>
      </c>
      <c r="D10" s="10"/>
      <c r="E10" s="10"/>
      <c r="F10" s="16">
        <f>+F47</f>
        <v>11.912045889101339</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1000</v>
      </c>
      <c r="D30" s="13"/>
      <c r="E30" s="13"/>
      <c r="F30" s="17">
        <f>SUM(F10:F20)+F24+F25+F26+F27+F28+F29</f>
        <v>11.912045889101339</v>
      </c>
    </row>
    <row r="33" spans="2:6" x14ac:dyDescent="0.2">
      <c r="B33" s="14" t="s">
        <v>11</v>
      </c>
      <c r="C33" s="15" t="s">
        <v>10</v>
      </c>
      <c r="D33" s="15"/>
      <c r="E33" s="15"/>
      <c r="F33" s="15" t="s">
        <v>3</v>
      </c>
    </row>
    <row r="34" spans="2:6" x14ac:dyDescent="0.2">
      <c r="B34" s="10" t="s">
        <v>32</v>
      </c>
      <c r="C34" s="18"/>
      <c r="D34" s="18"/>
      <c r="E34" s="18"/>
      <c r="F34" s="44">
        <f t="shared" ref="F34:F37" si="0">C34/$H$2</f>
        <v>0</v>
      </c>
    </row>
    <row r="35" spans="2:6" x14ac:dyDescent="0.2">
      <c r="B35" s="10" t="s">
        <v>33</v>
      </c>
      <c r="C35" s="19">
        <v>1000</v>
      </c>
      <c r="D35" s="19"/>
      <c r="E35" s="19"/>
      <c r="F35" s="44">
        <f t="shared" si="0"/>
        <v>1.9120458891013383</v>
      </c>
    </row>
    <row r="36" spans="2:6" x14ac:dyDescent="0.2">
      <c r="B36" s="10" t="s">
        <v>34</v>
      </c>
      <c r="C36" s="19"/>
      <c r="D36" s="19"/>
      <c r="E36" s="19"/>
      <c r="F36" s="44">
        <f t="shared" si="0"/>
        <v>0</v>
      </c>
    </row>
    <row r="37" spans="2:6" x14ac:dyDescent="0.2">
      <c r="B37" s="10" t="s">
        <v>35</v>
      </c>
      <c r="C37" s="19"/>
      <c r="D37" s="19"/>
      <c r="E37" s="19"/>
      <c r="F37" s="44">
        <f t="shared" si="0"/>
        <v>0</v>
      </c>
    </row>
    <row r="38" spans="2:6" x14ac:dyDescent="0.2">
      <c r="B38" s="10" t="s">
        <v>36</v>
      </c>
      <c r="C38" s="19"/>
      <c r="D38" s="19"/>
      <c r="E38" s="19"/>
      <c r="F38" s="44">
        <f>C38/$H$2</f>
        <v>0</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10</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1000</v>
      </c>
      <c r="D47" s="26"/>
      <c r="E47" s="26"/>
      <c r="F47" s="26">
        <f>SUM(F34:F46)</f>
        <v>11.912045889101339</v>
      </c>
    </row>
    <row r="49" spans="1:9" ht="16" thickBot="1" x14ac:dyDescent="0.25"/>
    <row r="50" spans="1:9" ht="16" thickBot="1" x14ac:dyDescent="0.25">
      <c r="B50" s="141" t="s">
        <v>40</v>
      </c>
      <c r="C50" s="142"/>
      <c r="D50" s="143"/>
    </row>
    <row r="51" spans="1:9" ht="16" thickBot="1" x14ac:dyDescent="0.25">
      <c r="B51" s="53" t="s">
        <v>10</v>
      </c>
      <c r="C51" s="54" t="s">
        <v>3</v>
      </c>
      <c r="D51" s="55" t="s">
        <v>2</v>
      </c>
      <c r="E51" s="27"/>
      <c r="F51" s="141" t="s">
        <v>45</v>
      </c>
      <c r="G51" s="142"/>
      <c r="H51" s="142"/>
      <c r="I51" s="143"/>
    </row>
    <row r="52" spans="1:9" x14ac:dyDescent="0.2">
      <c r="A52" s="56" t="s">
        <v>51</v>
      </c>
      <c r="B52" s="35">
        <v>1040</v>
      </c>
      <c r="C52" s="36">
        <v>474</v>
      </c>
      <c r="D52" s="37">
        <v>40</v>
      </c>
      <c r="F52" s="145" t="s">
        <v>54</v>
      </c>
      <c r="G52" s="146"/>
      <c r="H52" s="146"/>
      <c r="I52" s="147"/>
    </row>
    <row r="53" spans="1:9" ht="16" thickBot="1" x14ac:dyDescent="0.25">
      <c r="A53" s="56" t="s">
        <v>42</v>
      </c>
      <c r="B53" s="41">
        <f>B52-1000</f>
        <v>40</v>
      </c>
      <c r="C53" s="42">
        <v>474</v>
      </c>
      <c r="D53" s="43">
        <v>40</v>
      </c>
      <c r="F53" s="148"/>
      <c r="G53" s="149"/>
      <c r="H53" s="149"/>
      <c r="I53" s="150"/>
    </row>
    <row r="54" spans="1:9" x14ac:dyDescent="0.2">
      <c r="F54" s="145" t="s">
        <v>53</v>
      </c>
      <c r="G54" s="146"/>
      <c r="H54" s="146"/>
      <c r="I54" s="147"/>
    </row>
    <row r="55" spans="1:9" x14ac:dyDescent="0.2">
      <c r="F55" s="148"/>
      <c r="G55" s="149"/>
      <c r="H55" s="149"/>
      <c r="I55" s="150"/>
    </row>
    <row r="56" spans="1:9" x14ac:dyDescent="0.2">
      <c r="F56" s="148"/>
      <c r="G56" s="149"/>
      <c r="H56" s="149"/>
      <c r="I56" s="150"/>
    </row>
    <row r="57" spans="1:9" x14ac:dyDescent="0.2">
      <c r="F57" s="148"/>
      <c r="G57" s="149"/>
      <c r="H57" s="149"/>
      <c r="I57" s="150"/>
    </row>
    <row r="58" spans="1:9" x14ac:dyDescent="0.2">
      <c r="F58" s="148"/>
      <c r="G58" s="149"/>
      <c r="H58" s="149"/>
      <c r="I58" s="150"/>
    </row>
    <row r="59" spans="1:9" ht="16" thickBot="1" x14ac:dyDescent="0.25">
      <c r="F59" s="151"/>
      <c r="G59" s="152"/>
      <c r="H59" s="152"/>
      <c r="I59" s="153"/>
    </row>
    <row r="60" spans="1:9" x14ac:dyDescent="0.2">
      <c r="F60" s="167"/>
      <c r="G60" s="167"/>
      <c r="H60" s="167"/>
      <c r="I60" s="167"/>
    </row>
    <row r="61" spans="1:9" x14ac:dyDescent="0.2">
      <c r="F61" s="168"/>
      <c r="G61" s="168"/>
      <c r="H61" s="168"/>
      <c r="I61" s="168"/>
    </row>
    <row r="62" spans="1:9" x14ac:dyDescent="0.2">
      <c r="F62" s="168"/>
      <c r="G62" s="168"/>
      <c r="H62" s="168"/>
      <c r="I62" s="168"/>
    </row>
  </sheetData>
  <mergeCells count="6">
    <mergeCell ref="F60:I62"/>
    <mergeCell ref="C2:F2"/>
    <mergeCell ref="B50:D50"/>
    <mergeCell ref="F51:I51"/>
    <mergeCell ref="F52:I53"/>
    <mergeCell ref="F54:I5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L61"/>
  <sheetViews>
    <sheetView topLeftCell="B4" workbookViewId="0">
      <selection activeCell="I19" sqref="I19"/>
    </sheetView>
  </sheetViews>
  <sheetFormatPr baseColWidth="10" defaultColWidth="11.5" defaultRowHeight="15" x14ac:dyDescent="0.2"/>
  <cols>
    <col min="2" max="2" width="32.6640625" customWidth="1"/>
    <col min="6" max="6" width="21.33203125" bestFit="1" customWidth="1"/>
  </cols>
  <sheetData>
    <row r="1" spans="2:12" ht="16" thickBot="1" x14ac:dyDescent="0.25"/>
    <row r="2" spans="2:12" ht="16" thickBot="1" x14ac:dyDescent="0.25">
      <c r="C2" s="126" t="s">
        <v>43</v>
      </c>
      <c r="D2" s="127"/>
      <c r="E2" s="127"/>
      <c r="F2" s="128"/>
      <c r="G2">
        <v>523</v>
      </c>
      <c r="H2">
        <v>523</v>
      </c>
      <c r="I2">
        <v>523</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227+3.8+5</f>
        <v>235.8</v>
      </c>
      <c r="I4" s="6"/>
      <c r="J4" s="7">
        <f>+C4+D4+E4+F5+G5+H5+I4</f>
        <v>123323.40000000001</v>
      </c>
      <c r="K4" s="7">
        <f>J4/H2</f>
        <v>235.8</v>
      </c>
      <c r="L4" s="72">
        <f>K4-C8</f>
        <v>-14.199999999999989</v>
      </c>
    </row>
    <row r="5" spans="2:12" ht="16" thickBot="1" x14ac:dyDescent="0.25">
      <c r="B5" s="8"/>
      <c r="C5" s="9"/>
      <c r="D5" s="9"/>
      <c r="E5" s="9"/>
      <c r="F5" s="10">
        <f>+F4*F2</f>
        <v>0</v>
      </c>
      <c r="G5" s="10">
        <f>+G4*G2</f>
        <v>0</v>
      </c>
      <c r="H5" s="10">
        <f>+H4*H2</f>
        <v>123323.40000000001</v>
      </c>
      <c r="I5" s="10"/>
      <c r="J5" s="10"/>
      <c r="K5" s="10"/>
    </row>
    <row r="6" spans="2:12" ht="16" thickBot="1" x14ac:dyDescent="0.25"/>
    <row r="7" spans="2:12" x14ac:dyDescent="0.2">
      <c r="B7" s="11" t="s">
        <v>7</v>
      </c>
      <c r="C7" s="12"/>
      <c r="D7" s="25"/>
      <c r="E7" s="25"/>
      <c r="H7" s="78">
        <f>H4+100</f>
        <v>335.8</v>
      </c>
      <c r="I7" s="78"/>
      <c r="J7" s="78"/>
      <c r="K7" s="79">
        <f>K4+100</f>
        <v>335.8</v>
      </c>
      <c r="L7" s="79">
        <f>K7-C8</f>
        <v>85.800000000000011</v>
      </c>
    </row>
    <row r="8" spans="2:12" x14ac:dyDescent="0.2">
      <c r="B8" s="13" t="s">
        <v>8</v>
      </c>
      <c r="C8" s="10">
        <v>250</v>
      </c>
      <c r="H8" s="78">
        <f>H4-100</f>
        <v>135.80000000000001</v>
      </c>
      <c r="I8" s="78"/>
      <c r="J8" s="78"/>
      <c r="K8" s="78">
        <v>135.80000000000001</v>
      </c>
      <c r="L8" s="78">
        <f>K8-C8</f>
        <v>-114.19999999999999</v>
      </c>
    </row>
    <row r="9" spans="2:12" x14ac:dyDescent="0.2">
      <c r="B9" s="14" t="s">
        <v>9</v>
      </c>
      <c r="C9" s="15" t="s">
        <v>10</v>
      </c>
      <c r="D9" s="15"/>
      <c r="E9" s="15"/>
      <c r="F9" s="15" t="s">
        <v>3</v>
      </c>
      <c r="K9" s="57"/>
    </row>
    <row r="10" spans="2:12" x14ac:dyDescent="0.2">
      <c r="B10" s="10" t="s">
        <v>11</v>
      </c>
      <c r="C10" s="19">
        <f>+C47</f>
        <v>2000</v>
      </c>
      <c r="D10" s="10"/>
      <c r="E10" s="10"/>
      <c r="F10" s="16">
        <f>+F47</f>
        <v>108.82409177820267</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c r="H14" t="s">
        <v>73</v>
      </c>
    </row>
    <row r="15" spans="2:12" x14ac:dyDescent="0.2">
      <c r="B15" s="10" t="s">
        <v>16</v>
      </c>
      <c r="C15" s="10"/>
      <c r="D15" s="10"/>
      <c r="E15" s="10"/>
      <c r="F15" s="10"/>
    </row>
    <row r="16" spans="2:12"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v>100</v>
      </c>
    </row>
    <row r="21" spans="2:6" x14ac:dyDescent="0.2">
      <c r="B21" s="106" t="s">
        <v>22</v>
      </c>
      <c r="C21" s="10"/>
      <c r="D21" s="10"/>
      <c r="E21" s="10"/>
      <c r="F21" s="10"/>
    </row>
    <row r="22" spans="2:6" x14ac:dyDescent="0.2">
      <c r="B22" s="106" t="s">
        <v>23</v>
      </c>
      <c r="C22" s="10"/>
      <c r="D22" s="10"/>
      <c r="E22" s="10"/>
      <c r="F22" s="10"/>
    </row>
    <row r="23" spans="2:6" x14ac:dyDescent="0.2">
      <c r="B23" s="106"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2000</v>
      </c>
      <c r="D30" s="13"/>
      <c r="E30" s="13"/>
      <c r="F30" s="17">
        <f>SUM(F10:F20)+F24+F25+F26+F27+F28+F29</f>
        <v>208.82409177820267</v>
      </c>
    </row>
    <row r="33" spans="2:6" x14ac:dyDescent="0.2">
      <c r="B33" s="14" t="s">
        <v>11</v>
      </c>
      <c r="C33" s="15" t="s">
        <v>10</v>
      </c>
      <c r="D33" s="15"/>
      <c r="E33" s="15"/>
      <c r="F33" s="15" t="s">
        <v>3</v>
      </c>
    </row>
    <row r="34" spans="2:6" x14ac:dyDescent="0.2">
      <c r="B34" s="10" t="s">
        <v>32</v>
      </c>
      <c r="C34" s="18"/>
      <c r="D34" s="18"/>
      <c r="E34" s="18"/>
      <c r="F34" s="44">
        <f t="shared" ref="F34:F37" si="0">C34/$H$2</f>
        <v>0</v>
      </c>
    </row>
    <row r="35" spans="2:6" x14ac:dyDescent="0.2">
      <c r="B35" s="10" t="s">
        <v>33</v>
      </c>
      <c r="C35" s="19"/>
      <c r="D35" s="19"/>
      <c r="E35" s="19"/>
      <c r="F35" s="44">
        <f t="shared" si="0"/>
        <v>0</v>
      </c>
    </row>
    <row r="36" spans="2:6" x14ac:dyDescent="0.2">
      <c r="B36" s="77" t="s">
        <v>34</v>
      </c>
      <c r="C36" s="19"/>
      <c r="D36" s="19"/>
      <c r="E36" s="19"/>
      <c r="F36" s="76">
        <v>100</v>
      </c>
    </row>
    <row r="37" spans="2:6" x14ac:dyDescent="0.2">
      <c r="B37" s="10" t="s">
        <v>35</v>
      </c>
      <c r="C37" s="19"/>
      <c r="D37" s="19"/>
      <c r="E37" s="19"/>
      <c r="F37" s="44">
        <f t="shared" si="0"/>
        <v>0</v>
      </c>
    </row>
    <row r="38" spans="2:6" x14ac:dyDescent="0.2">
      <c r="B38" s="10" t="s">
        <v>36</v>
      </c>
      <c r="C38" s="19">
        <v>2000</v>
      </c>
      <c r="D38" s="19"/>
      <c r="E38" s="19"/>
      <c r="F38" s="44">
        <f>C38/$H$2</f>
        <v>3.8240917782026767</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5</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2000</v>
      </c>
      <c r="D47" s="26"/>
      <c r="E47" s="26"/>
      <c r="F47" s="26">
        <f>SUM(F34:F46)</f>
        <v>108.82409177820267</v>
      </c>
    </row>
    <row r="49" spans="1:9" ht="16" thickBot="1" x14ac:dyDescent="0.25"/>
    <row r="50" spans="1:9" ht="16" thickBot="1" x14ac:dyDescent="0.25">
      <c r="B50" s="141" t="s">
        <v>40</v>
      </c>
      <c r="C50" s="142"/>
      <c r="D50" s="143"/>
    </row>
    <row r="51" spans="1:9" ht="16" thickBot="1" x14ac:dyDescent="0.25">
      <c r="B51" s="53" t="s">
        <v>10</v>
      </c>
      <c r="C51" s="54" t="s">
        <v>3</v>
      </c>
      <c r="D51" s="55" t="s">
        <v>2</v>
      </c>
      <c r="E51" s="27"/>
      <c r="F51" s="141" t="s">
        <v>45</v>
      </c>
      <c r="G51" s="142"/>
      <c r="H51" s="142"/>
      <c r="I51" s="143"/>
    </row>
    <row r="52" spans="1:9" ht="14.5" customHeight="1" x14ac:dyDescent="0.2">
      <c r="A52" s="56" t="s">
        <v>51</v>
      </c>
      <c r="B52" s="35">
        <f>40+3450</f>
        <v>3490</v>
      </c>
      <c r="C52" s="32">
        <v>474</v>
      </c>
      <c r="D52" s="33">
        <v>40</v>
      </c>
      <c r="F52" s="145" t="s">
        <v>55</v>
      </c>
      <c r="G52" s="146"/>
      <c r="H52" s="146"/>
      <c r="I52" s="147"/>
    </row>
    <row r="53" spans="1:9" ht="16" thickBot="1" x14ac:dyDescent="0.25">
      <c r="A53" s="56" t="s">
        <v>42</v>
      </c>
      <c r="B53" s="58">
        <f>3490-430</f>
        <v>3060</v>
      </c>
      <c r="C53" s="42">
        <v>474</v>
      </c>
      <c r="D53" s="43">
        <v>40</v>
      </c>
      <c r="F53" s="148"/>
      <c r="G53" s="149"/>
      <c r="H53" s="149"/>
      <c r="I53" s="150"/>
    </row>
    <row r="54" spans="1:9" x14ac:dyDescent="0.2">
      <c r="F54" s="148"/>
      <c r="G54" s="149"/>
      <c r="H54" s="149"/>
      <c r="I54" s="150"/>
    </row>
    <row r="55" spans="1:9" ht="16" thickBot="1" x14ac:dyDescent="0.25">
      <c r="F55" s="151"/>
      <c r="G55" s="152"/>
      <c r="H55" s="152"/>
      <c r="I55" s="153"/>
    </row>
    <row r="56" spans="1:9" x14ac:dyDescent="0.2">
      <c r="F56" s="145" t="s">
        <v>67</v>
      </c>
      <c r="G56" s="146"/>
      <c r="H56" s="146"/>
      <c r="I56" s="147"/>
    </row>
    <row r="57" spans="1:9" x14ac:dyDescent="0.2">
      <c r="F57" s="148"/>
      <c r="G57" s="149"/>
      <c r="H57" s="149"/>
      <c r="I57" s="150"/>
    </row>
    <row r="58" spans="1:9" ht="16" thickBot="1" x14ac:dyDescent="0.25">
      <c r="F58" s="151"/>
      <c r="G58" s="152"/>
      <c r="H58" s="152"/>
      <c r="I58" s="153"/>
    </row>
    <row r="59" spans="1:9" x14ac:dyDescent="0.2">
      <c r="F59" s="145" t="s">
        <v>56</v>
      </c>
      <c r="G59" s="146"/>
      <c r="H59" s="146"/>
      <c r="I59" s="147"/>
    </row>
    <row r="60" spans="1:9" x14ac:dyDescent="0.2">
      <c r="F60" s="148"/>
      <c r="G60" s="149"/>
      <c r="H60" s="149"/>
      <c r="I60" s="150"/>
    </row>
    <row r="61" spans="1:9" ht="16" thickBot="1" x14ac:dyDescent="0.25">
      <c r="F61" s="151"/>
      <c r="G61" s="152"/>
      <c r="H61" s="152"/>
      <c r="I61" s="153"/>
    </row>
  </sheetData>
  <mergeCells count="6">
    <mergeCell ref="F59:I61"/>
    <mergeCell ref="C2:F2"/>
    <mergeCell ref="B50:D50"/>
    <mergeCell ref="F51:I51"/>
    <mergeCell ref="F56:I58"/>
    <mergeCell ref="F52:I5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5"/>
  <sheetViews>
    <sheetView topLeftCell="A44" workbookViewId="0">
      <selection activeCell="F63" sqref="F63"/>
    </sheetView>
  </sheetViews>
  <sheetFormatPr baseColWidth="10" defaultColWidth="11.5" defaultRowHeight="15" x14ac:dyDescent="0.2"/>
  <cols>
    <col min="2" max="2" width="26.33203125" bestFit="1" customWidth="1"/>
    <col min="6" max="6" width="21.33203125" bestFit="1" customWidth="1"/>
  </cols>
  <sheetData>
    <row r="1" spans="2:12" ht="16" thickBot="1" x14ac:dyDescent="0.25"/>
    <row r="2" spans="2:12" ht="16" thickBot="1" x14ac:dyDescent="0.25">
      <c r="C2" s="126" t="s">
        <v>43</v>
      </c>
      <c r="D2" s="127"/>
      <c r="E2" s="127"/>
      <c r="F2" s="128"/>
      <c r="G2">
        <v>525</v>
      </c>
      <c r="H2">
        <v>525</v>
      </c>
      <c r="I2">
        <v>525</v>
      </c>
    </row>
    <row r="3" spans="2:12" ht="16" thickBot="1" x14ac:dyDescent="0.25">
      <c r="B3" s="1" t="s">
        <v>0</v>
      </c>
      <c r="C3" s="21">
        <v>2236</v>
      </c>
      <c r="D3" s="21">
        <v>4910</v>
      </c>
      <c r="E3" s="21">
        <v>4660</v>
      </c>
      <c r="F3" s="22" t="s">
        <v>1</v>
      </c>
      <c r="G3" s="23" t="s">
        <v>2</v>
      </c>
      <c r="H3" s="24" t="s">
        <v>3</v>
      </c>
      <c r="I3" s="23" t="s">
        <v>4</v>
      </c>
      <c r="J3" s="3" t="s">
        <v>5</v>
      </c>
      <c r="K3" s="2" t="s">
        <v>6</v>
      </c>
      <c r="L3" s="2" t="s">
        <v>71</v>
      </c>
    </row>
    <row r="4" spans="2:12" ht="16" thickBot="1" x14ac:dyDescent="0.25">
      <c r="B4" s="4"/>
      <c r="C4" s="5">
        <v>0</v>
      </c>
      <c r="D4" s="5"/>
      <c r="E4" s="5"/>
      <c r="F4" s="6">
        <v>0</v>
      </c>
      <c r="G4" s="6">
        <v>0</v>
      </c>
      <c r="H4" s="6">
        <f>82+3</f>
        <v>85</v>
      </c>
      <c r="I4" s="6">
        <f>22250 + 4000</f>
        <v>26250</v>
      </c>
      <c r="J4" s="7">
        <f>+C4+D4+E4+F5+G5+H5+I4</f>
        <v>70875</v>
      </c>
      <c r="K4" s="7">
        <f>+J4/H2</f>
        <v>135</v>
      </c>
      <c r="L4" s="72">
        <f>K4-C8</f>
        <v>0</v>
      </c>
    </row>
    <row r="5" spans="2:12" ht="16" thickBot="1" x14ac:dyDescent="0.25">
      <c r="B5" s="8"/>
      <c r="C5" s="9"/>
      <c r="D5" s="9"/>
      <c r="E5" s="9"/>
      <c r="F5" s="10">
        <f>+F4*F2</f>
        <v>0</v>
      </c>
      <c r="G5" s="10">
        <f>+G4*G2</f>
        <v>0</v>
      </c>
      <c r="H5" s="10">
        <f>+H4*H2</f>
        <v>44625</v>
      </c>
      <c r="I5" s="10"/>
      <c r="J5" s="10"/>
      <c r="K5" s="10"/>
    </row>
    <row r="6" spans="2:12" ht="16" thickBot="1" x14ac:dyDescent="0.25"/>
    <row r="7" spans="2:12" x14ac:dyDescent="0.2">
      <c r="B7" s="11" t="s">
        <v>7</v>
      </c>
      <c r="C7" s="12"/>
      <c r="D7" s="25"/>
      <c r="E7" s="25"/>
    </row>
    <row r="8" spans="2:12" x14ac:dyDescent="0.2">
      <c r="B8" s="13" t="s">
        <v>8</v>
      </c>
      <c r="C8" s="10">
        <v>135</v>
      </c>
    </row>
    <row r="9" spans="2:12" x14ac:dyDescent="0.2">
      <c r="B9" s="14" t="s">
        <v>9</v>
      </c>
      <c r="C9" s="15" t="s">
        <v>10</v>
      </c>
      <c r="D9" s="15"/>
      <c r="E9" s="15"/>
      <c r="F9" s="15" t="s">
        <v>3</v>
      </c>
    </row>
    <row r="10" spans="2:12" x14ac:dyDescent="0.2">
      <c r="B10" s="10" t="s">
        <v>11</v>
      </c>
      <c r="C10" s="19">
        <f>+C47</f>
        <v>4000</v>
      </c>
      <c r="D10" s="10"/>
      <c r="E10" s="10"/>
      <c r="F10" s="16">
        <f>+F47</f>
        <v>10.619047619047619</v>
      </c>
    </row>
    <row r="11" spans="2:12" x14ac:dyDescent="0.2">
      <c r="B11" s="10" t="s">
        <v>12</v>
      </c>
      <c r="C11" s="10"/>
      <c r="D11" s="10"/>
      <c r="E11" s="10"/>
      <c r="F11" s="10"/>
    </row>
    <row r="12" spans="2:12" x14ac:dyDescent="0.2">
      <c r="B12" s="10" t="s">
        <v>13</v>
      </c>
      <c r="C12" s="10"/>
      <c r="D12" s="10"/>
      <c r="E12" s="10"/>
      <c r="F12" s="10"/>
    </row>
    <row r="13" spans="2:12" x14ac:dyDescent="0.2">
      <c r="B13" s="10" t="s">
        <v>14</v>
      </c>
      <c r="C13" s="10"/>
      <c r="D13" s="10"/>
      <c r="E13" s="10"/>
      <c r="F13" s="10"/>
    </row>
    <row r="14" spans="2:12" x14ac:dyDescent="0.2">
      <c r="B14" s="10" t="s">
        <v>15</v>
      </c>
      <c r="C14" s="10"/>
      <c r="D14" s="10"/>
      <c r="E14" s="10"/>
      <c r="F14" s="10"/>
    </row>
    <row r="15" spans="2:12" x14ac:dyDescent="0.2">
      <c r="B15" s="10" t="s">
        <v>16</v>
      </c>
      <c r="C15" s="10"/>
      <c r="D15" s="10"/>
      <c r="E15" s="10"/>
      <c r="F15" s="10"/>
    </row>
    <row r="16" spans="2:12" x14ac:dyDescent="0.2">
      <c r="B16" s="10" t="s">
        <v>17</v>
      </c>
      <c r="C16" s="10"/>
      <c r="D16" s="10"/>
      <c r="E16" s="10"/>
      <c r="F16" s="10"/>
    </row>
    <row r="17" spans="2:6" x14ac:dyDescent="0.2">
      <c r="B17" s="10" t="s">
        <v>18</v>
      </c>
      <c r="C17" s="19"/>
      <c r="D17" s="10"/>
      <c r="E17" s="10"/>
      <c r="F17" s="10"/>
    </row>
    <row r="18" spans="2:6" x14ac:dyDescent="0.2">
      <c r="B18" s="10" t="s">
        <v>19</v>
      </c>
      <c r="C18" s="10"/>
      <c r="D18" s="10"/>
      <c r="E18" s="10"/>
      <c r="F18" s="10"/>
    </row>
    <row r="19" spans="2:6" x14ac:dyDescent="0.2">
      <c r="B19" s="10" t="s">
        <v>20</v>
      </c>
      <c r="C19" s="10"/>
      <c r="D19" s="10"/>
      <c r="E19" s="10"/>
      <c r="F19" s="10"/>
    </row>
    <row r="20" spans="2:6" x14ac:dyDescent="0.2">
      <c r="B20" s="10" t="s">
        <v>21</v>
      </c>
      <c r="C20" s="10"/>
      <c r="D20" s="10"/>
      <c r="E20" s="10"/>
      <c r="F20" s="10"/>
    </row>
    <row r="21" spans="2:6" x14ac:dyDescent="0.2">
      <c r="B21" s="10" t="s">
        <v>22</v>
      </c>
      <c r="C21" s="10"/>
      <c r="D21" s="10"/>
      <c r="E21" s="10"/>
      <c r="F21" s="10"/>
    </row>
    <row r="22" spans="2:6" x14ac:dyDescent="0.2">
      <c r="B22" s="10" t="s">
        <v>23</v>
      </c>
      <c r="C22" s="10"/>
      <c r="D22" s="10"/>
      <c r="E22" s="10"/>
      <c r="F22" s="10"/>
    </row>
    <row r="23" spans="2:6" x14ac:dyDescent="0.2">
      <c r="B23" s="10" t="s">
        <v>24</v>
      </c>
      <c r="C23" s="10"/>
      <c r="D23" s="10"/>
      <c r="E23" s="10"/>
      <c r="F23" s="10"/>
    </row>
    <row r="24" spans="2:6" x14ac:dyDescent="0.2">
      <c r="B24" s="10" t="s">
        <v>25</v>
      </c>
      <c r="C24" s="10"/>
      <c r="D24" s="10"/>
      <c r="E24" s="10"/>
      <c r="F24" s="10"/>
    </row>
    <row r="25" spans="2:6" x14ac:dyDescent="0.2">
      <c r="B25" s="10" t="s">
        <v>26</v>
      </c>
      <c r="C25" s="10"/>
      <c r="D25" s="10"/>
      <c r="E25" s="10"/>
      <c r="F25" s="10"/>
    </row>
    <row r="26" spans="2:6" x14ac:dyDescent="0.2">
      <c r="B26" s="10" t="s">
        <v>27</v>
      </c>
      <c r="C26" s="10"/>
      <c r="D26" s="10"/>
      <c r="E26" s="10"/>
      <c r="F26" s="10"/>
    </row>
    <row r="27" spans="2:6" x14ac:dyDescent="0.2">
      <c r="B27" s="10" t="s">
        <v>28</v>
      </c>
      <c r="C27" s="10"/>
      <c r="D27" s="10"/>
      <c r="E27" s="10"/>
      <c r="F27" s="10"/>
    </row>
    <row r="28" spans="2:6" x14ac:dyDescent="0.2">
      <c r="B28" s="10" t="s">
        <v>29</v>
      </c>
      <c r="C28" s="10"/>
      <c r="D28" s="10"/>
      <c r="E28" s="10"/>
      <c r="F28" s="10"/>
    </row>
    <row r="29" spans="2:6" x14ac:dyDescent="0.2">
      <c r="B29" s="10" t="s">
        <v>30</v>
      </c>
      <c r="C29" s="10"/>
      <c r="D29" s="10"/>
      <c r="E29" s="10"/>
      <c r="F29" s="10"/>
    </row>
    <row r="30" spans="2:6" x14ac:dyDescent="0.2">
      <c r="B30" s="13" t="s">
        <v>31</v>
      </c>
      <c r="C30" s="13">
        <f>SUM(C10:C29)</f>
        <v>4000</v>
      </c>
      <c r="D30" s="13"/>
      <c r="E30" s="13"/>
      <c r="F30" s="17">
        <f>SUM(F10:F20)+F24+F25+F26+F27+F28+F29</f>
        <v>10.619047619047619</v>
      </c>
    </row>
    <row r="33" spans="2:6" x14ac:dyDescent="0.2">
      <c r="B33" s="14" t="s">
        <v>11</v>
      </c>
      <c r="C33" s="15" t="s">
        <v>10</v>
      </c>
      <c r="D33" s="15"/>
      <c r="E33" s="15"/>
      <c r="F33" s="15" t="s">
        <v>3</v>
      </c>
    </row>
    <row r="34" spans="2:6" x14ac:dyDescent="0.2">
      <c r="B34" s="10" t="s">
        <v>32</v>
      </c>
      <c r="C34" s="18">
        <v>2000</v>
      </c>
      <c r="D34" s="18"/>
      <c r="E34" s="18"/>
      <c r="F34" s="44">
        <f t="shared" ref="F34:F37" si="0">C34/$H$2</f>
        <v>3.8095238095238093</v>
      </c>
    </row>
    <row r="35" spans="2:6" x14ac:dyDescent="0.2">
      <c r="B35" s="10" t="s">
        <v>33</v>
      </c>
      <c r="C35" s="19"/>
      <c r="D35" s="19"/>
      <c r="E35" s="19"/>
      <c r="F35" s="44">
        <f t="shared" si="0"/>
        <v>0</v>
      </c>
    </row>
    <row r="36" spans="2:6" x14ac:dyDescent="0.2">
      <c r="B36" s="10" t="s">
        <v>34</v>
      </c>
      <c r="C36" s="19"/>
      <c r="D36" s="19"/>
      <c r="E36" s="19"/>
      <c r="F36" s="44">
        <v>0</v>
      </c>
    </row>
    <row r="37" spans="2:6" x14ac:dyDescent="0.2">
      <c r="B37" s="10" t="s">
        <v>35</v>
      </c>
      <c r="C37" s="19"/>
      <c r="D37" s="19"/>
      <c r="E37" s="19"/>
      <c r="F37" s="44">
        <f t="shared" si="0"/>
        <v>0</v>
      </c>
    </row>
    <row r="38" spans="2:6" x14ac:dyDescent="0.2">
      <c r="B38" s="10" t="s">
        <v>36</v>
      </c>
      <c r="C38" s="19">
        <v>2000</v>
      </c>
      <c r="D38" s="19"/>
      <c r="E38" s="19"/>
      <c r="F38" s="44">
        <f>C38/$H$2</f>
        <v>3.8095238095238093</v>
      </c>
    </row>
    <row r="39" spans="2:6" x14ac:dyDescent="0.2">
      <c r="B39" s="10" t="s">
        <v>37</v>
      </c>
      <c r="C39" s="19"/>
      <c r="D39" s="19"/>
      <c r="E39" s="19"/>
      <c r="F39" s="44"/>
    </row>
    <row r="40" spans="2:6" x14ac:dyDescent="0.2">
      <c r="B40" s="10" t="s">
        <v>38</v>
      </c>
      <c r="C40" s="19"/>
      <c r="D40" s="19"/>
      <c r="E40" s="19"/>
      <c r="F40" s="19"/>
    </row>
    <row r="41" spans="2:6" x14ac:dyDescent="0.2">
      <c r="B41" s="10" t="s">
        <v>39</v>
      </c>
      <c r="C41" s="19"/>
      <c r="D41" s="19"/>
      <c r="E41" s="19"/>
      <c r="F41" s="19"/>
    </row>
    <row r="42" spans="2:6" x14ac:dyDescent="0.2">
      <c r="B42" s="10"/>
      <c r="C42" s="19"/>
      <c r="D42" s="19"/>
      <c r="E42" s="19"/>
      <c r="F42" s="10"/>
    </row>
    <row r="43" spans="2:6" x14ac:dyDescent="0.2">
      <c r="B43" s="20">
        <v>0.02</v>
      </c>
      <c r="C43" s="19"/>
      <c r="D43" s="19"/>
      <c r="E43" s="19"/>
      <c r="F43" s="45">
        <f>ROUNDUP(K4*0.02,0)</f>
        <v>3</v>
      </c>
    </row>
    <row r="44" spans="2:6" x14ac:dyDescent="0.2">
      <c r="B44" s="10"/>
      <c r="C44" s="19"/>
      <c r="D44" s="19"/>
      <c r="E44" s="19"/>
      <c r="F44" s="10"/>
    </row>
    <row r="45" spans="2:6" x14ac:dyDescent="0.2">
      <c r="B45" s="10"/>
      <c r="C45" s="19"/>
      <c r="D45" s="19"/>
      <c r="E45" s="19"/>
      <c r="F45" s="10"/>
    </row>
    <row r="46" spans="2:6" x14ac:dyDescent="0.2">
      <c r="B46" s="10"/>
      <c r="C46" s="19"/>
      <c r="D46" s="19"/>
      <c r="E46" s="19"/>
      <c r="F46" s="10"/>
    </row>
    <row r="47" spans="2:6" x14ac:dyDescent="0.2">
      <c r="B47" s="13" t="s">
        <v>44</v>
      </c>
      <c r="C47" s="26">
        <f>SUM(C34:C46)</f>
        <v>4000</v>
      </c>
      <c r="D47" s="26"/>
      <c r="E47" s="26"/>
      <c r="F47" s="26">
        <f>SUM(F34:F46)</f>
        <v>10.619047619047619</v>
      </c>
    </row>
    <row r="49" spans="1:9" ht="16" thickBot="1" x14ac:dyDescent="0.25"/>
    <row r="50" spans="1:9" ht="16" thickBot="1" x14ac:dyDescent="0.25">
      <c r="B50" s="141" t="s">
        <v>40</v>
      </c>
      <c r="C50" s="142"/>
      <c r="D50" s="143"/>
    </row>
    <row r="51" spans="1:9" ht="16" thickBot="1" x14ac:dyDescent="0.25">
      <c r="B51" s="53" t="s">
        <v>10</v>
      </c>
      <c r="C51" s="54" t="s">
        <v>3</v>
      </c>
      <c r="D51" s="55" t="s">
        <v>2</v>
      </c>
      <c r="E51" s="27"/>
      <c r="F51" s="141" t="s">
        <v>45</v>
      </c>
      <c r="G51" s="142"/>
      <c r="H51" s="142"/>
      <c r="I51" s="143"/>
    </row>
    <row r="52" spans="1:9" ht="14.5" customHeight="1" x14ac:dyDescent="0.2">
      <c r="A52" s="56" t="s">
        <v>51</v>
      </c>
      <c r="B52" s="35">
        <v>3060</v>
      </c>
      <c r="C52" s="32">
        <v>474</v>
      </c>
      <c r="D52" s="33">
        <v>40</v>
      </c>
      <c r="F52" s="145" t="s">
        <v>57</v>
      </c>
      <c r="G52" s="146"/>
      <c r="H52" s="146"/>
      <c r="I52" s="147"/>
    </row>
    <row r="53" spans="1:9" ht="16" thickBot="1" x14ac:dyDescent="0.25">
      <c r="A53" s="56" t="s">
        <v>42</v>
      </c>
      <c r="B53" s="58">
        <f>3490-430</f>
        <v>3060</v>
      </c>
      <c r="C53" s="42">
        <v>474</v>
      </c>
      <c r="D53" s="43">
        <v>40</v>
      </c>
      <c r="F53" s="148"/>
      <c r="G53" s="149"/>
      <c r="H53" s="149"/>
      <c r="I53" s="150"/>
    </row>
    <row r="54" spans="1:9" x14ac:dyDescent="0.2">
      <c r="F54" s="148"/>
      <c r="G54" s="149"/>
      <c r="H54" s="149"/>
      <c r="I54" s="150"/>
    </row>
    <row r="55" spans="1:9" x14ac:dyDescent="0.2">
      <c r="F55" s="148"/>
      <c r="G55" s="149"/>
      <c r="H55" s="149"/>
      <c r="I55" s="150"/>
    </row>
    <row r="56" spans="1:9" ht="16" thickBot="1" x14ac:dyDescent="0.25">
      <c r="F56" s="151"/>
      <c r="G56" s="152"/>
      <c r="H56" s="152"/>
      <c r="I56" s="153"/>
    </row>
    <row r="58" spans="1:9" x14ac:dyDescent="0.2">
      <c r="C58" t="s">
        <v>10</v>
      </c>
      <c r="D58" t="s">
        <v>3</v>
      </c>
    </row>
    <row r="59" spans="1:9" x14ac:dyDescent="0.2">
      <c r="B59" s="13" t="s">
        <v>130</v>
      </c>
      <c r="C59" s="109">
        <f>SUM(C60:C65)</f>
        <v>30044.909999999996</v>
      </c>
      <c r="D59" s="109">
        <f>C59/$G$2</f>
        <v>57.228399999999993</v>
      </c>
    </row>
    <row r="60" spans="1:9" x14ac:dyDescent="0.2">
      <c r="B60" s="10" t="s">
        <v>136</v>
      </c>
      <c r="C60" s="110">
        <v>16945.03</v>
      </c>
      <c r="D60" s="110">
        <f>C60/$G$2</f>
        <v>32.276247619047616</v>
      </c>
    </row>
    <row r="61" spans="1:9" x14ac:dyDescent="0.2">
      <c r="B61" s="10" t="s">
        <v>137</v>
      </c>
      <c r="C61" s="110">
        <v>679</v>
      </c>
      <c r="D61" s="110">
        <f t="shared" ref="D61:D65" si="1">C61/$G$2</f>
        <v>1.2933333333333332</v>
      </c>
    </row>
    <row r="62" spans="1:9" x14ac:dyDescent="0.2">
      <c r="B62" s="10" t="s">
        <v>138</v>
      </c>
      <c r="C62" s="110">
        <v>1851.81</v>
      </c>
      <c r="D62" s="110">
        <f t="shared" si="1"/>
        <v>3.5272571428571426</v>
      </c>
    </row>
    <row r="63" spans="1:9" x14ac:dyDescent="0.2">
      <c r="B63" s="10" t="s">
        <v>139</v>
      </c>
      <c r="C63" s="110">
        <v>8314.4</v>
      </c>
      <c r="D63" s="110">
        <f t="shared" si="1"/>
        <v>15.836952380952381</v>
      </c>
    </row>
    <row r="64" spans="1:9" x14ac:dyDescent="0.2">
      <c r="B64" s="10" t="s">
        <v>140</v>
      </c>
      <c r="C64" s="110">
        <v>217.67</v>
      </c>
      <c r="D64" s="110">
        <f t="shared" si="1"/>
        <v>0.41460952380952376</v>
      </c>
    </row>
    <row r="65" spans="2:4" x14ac:dyDescent="0.2">
      <c r="B65" t="s">
        <v>141</v>
      </c>
      <c r="C65" s="111">
        <v>2037</v>
      </c>
      <c r="D65" s="110">
        <f t="shared" si="1"/>
        <v>3.88</v>
      </c>
    </row>
  </sheetData>
  <mergeCells count="4">
    <mergeCell ref="C2:F2"/>
    <mergeCell ref="B50:D50"/>
    <mergeCell ref="F51:I51"/>
    <mergeCell ref="F52:I5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L61"/>
  <sheetViews>
    <sheetView topLeftCell="A27" workbookViewId="0">
      <selection activeCell="E29" sqref="E29"/>
    </sheetView>
  </sheetViews>
  <sheetFormatPr baseColWidth="10" defaultColWidth="11.5" defaultRowHeight="15" x14ac:dyDescent="0.2"/>
  <cols>
    <col min="2" max="2" width="27.33203125" bestFit="1" customWidth="1"/>
    <col min="3" max="3" width="9" bestFit="1" customWidth="1"/>
    <col min="7" max="7" width="21.33203125" bestFit="1" customWidth="1"/>
  </cols>
  <sheetData>
    <row r="1" spans="2:12" ht="16" thickBot="1" x14ac:dyDescent="0.25"/>
    <row r="2" spans="2:12" ht="16" thickBot="1" x14ac:dyDescent="0.25">
      <c r="C2" s="93"/>
      <c r="D2" s="93"/>
      <c r="E2" s="93"/>
      <c r="F2" s="94"/>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2" t="s">
        <v>71</v>
      </c>
    </row>
    <row r="4" spans="2:12" ht="16" thickBot="1" x14ac:dyDescent="0.25">
      <c r="B4" s="63"/>
      <c r="C4" s="98">
        <v>10500</v>
      </c>
      <c r="D4" s="5"/>
      <c r="E4" s="5"/>
      <c r="F4" s="6">
        <v>0</v>
      </c>
      <c r="G4" s="6">
        <v>0</v>
      </c>
      <c r="H4" s="6">
        <f>187+6</f>
        <v>193</v>
      </c>
      <c r="I4" s="6">
        <f>30650+500+1700+4000</f>
        <v>36850</v>
      </c>
      <c r="J4" s="7">
        <f>C4+D4+E4+F5+G5+H5+I4</f>
        <v>148675</v>
      </c>
      <c r="K4" s="7">
        <f>J4/H2</f>
        <v>283.1904761904762</v>
      </c>
      <c r="L4" s="72">
        <f>K4-C8</f>
        <v>0.19047619047620401</v>
      </c>
    </row>
    <row r="5" spans="2:12" ht="16" thickBot="1" x14ac:dyDescent="0.25">
      <c r="B5" s="62"/>
      <c r="C5" s="9"/>
      <c r="D5" s="9"/>
      <c r="E5" s="9"/>
      <c r="F5" s="10">
        <f>+F4*F2</f>
        <v>0</v>
      </c>
      <c r="G5" s="10">
        <f>+G4*G2</f>
        <v>0</v>
      </c>
      <c r="H5" s="10">
        <f>+H4*H2</f>
        <v>101325</v>
      </c>
      <c r="I5" s="10"/>
      <c r="J5" s="10"/>
      <c r="K5" s="10"/>
    </row>
    <row r="6" spans="2:12" ht="16" thickBot="1" x14ac:dyDescent="0.25"/>
    <row r="7" spans="2:12" x14ac:dyDescent="0.2">
      <c r="B7" s="11" t="s">
        <v>7</v>
      </c>
      <c r="C7" s="59"/>
      <c r="D7" s="12"/>
      <c r="E7" s="25"/>
      <c r="F7" s="25"/>
    </row>
    <row r="8" spans="2:12" x14ac:dyDescent="0.2">
      <c r="B8" s="13" t="s">
        <v>8</v>
      </c>
      <c r="C8" s="10">
        <v>283</v>
      </c>
    </row>
    <row r="9" spans="2:12" x14ac:dyDescent="0.2">
      <c r="B9" s="14" t="s">
        <v>9</v>
      </c>
      <c r="C9" s="15" t="s">
        <v>10</v>
      </c>
      <c r="D9" s="15"/>
      <c r="E9" s="15" t="s">
        <v>3</v>
      </c>
    </row>
    <row r="10" spans="2:12" x14ac:dyDescent="0.2">
      <c r="B10" s="10" t="s">
        <v>11</v>
      </c>
      <c r="C10" s="19">
        <f>+C47</f>
        <v>4000</v>
      </c>
      <c r="D10" s="10"/>
      <c r="E10" s="16">
        <f>+E47</f>
        <v>113.61904761904762</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v>500</v>
      </c>
      <c r="D28" s="10"/>
      <c r="E28" s="16">
        <f>C28/G2</f>
        <v>0.95238095238095233</v>
      </c>
    </row>
    <row r="29" spans="2:6" x14ac:dyDescent="0.2">
      <c r="B29" s="10" t="s">
        <v>30</v>
      </c>
      <c r="C29" s="10">
        <v>1700</v>
      </c>
      <c r="D29" s="10"/>
      <c r="E29" s="16">
        <f>C29/G2</f>
        <v>3.2380952380952381</v>
      </c>
    </row>
    <row r="30" spans="2:6" x14ac:dyDescent="0.2">
      <c r="B30" s="13" t="s">
        <v>31</v>
      </c>
      <c r="C30" s="13"/>
      <c r="D30" s="13">
        <f>SUM(D10:D29)</f>
        <v>0</v>
      </c>
      <c r="E30" s="17">
        <f>SUM(G10:G20)+G24+G25+G26+G27+E28+E29</f>
        <v>4.1904761904761907</v>
      </c>
      <c r="F30" s="64"/>
    </row>
    <row r="33" spans="2:6" x14ac:dyDescent="0.2">
      <c r="B33" s="14" t="s">
        <v>11</v>
      </c>
      <c r="C33" s="15" t="s">
        <v>10</v>
      </c>
      <c r="D33" s="15"/>
      <c r="E33" s="14" t="s">
        <v>3</v>
      </c>
      <c r="F33" s="64"/>
    </row>
    <row r="34" spans="2:6" x14ac:dyDescent="0.2">
      <c r="B34" s="10" t="s">
        <v>32</v>
      </c>
      <c r="C34" s="19">
        <v>2000</v>
      </c>
      <c r="D34" s="19"/>
      <c r="E34" s="44">
        <f>C34/$H$2</f>
        <v>3.8095238095238093</v>
      </c>
      <c r="F34" s="65"/>
    </row>
    <row r="35" spans="2:6" x14ac:dyDescent="0.2">
      <c r="B35" s="10" t="s">
        <v>33</v>
      </c>
      <c r="C35" s="19"/>
      <c r="D35" s="19"/>
      <c r="E35" s="44">
        <f>C35/$H$2</f>
        <v>0</v>
      </c>
      <c r="F35" s="65"/>
    </row>
    <row r="36" spans="2:6" x14ac:dyDescent="0.2">
      <c r="B36" s="10" t="s">
        <v>34</v>
      </c>
      <c r="C36" s="19"/>
      <c r="D36" s="19"/>
      <c r="E36" s="44">
        <v>100</v>
      </c>
      <c r="F36" s="65"/>
    </row>
    <row r="37" spans="2:6" x14ac:dyDescent="0.2">
      <c r="B37" s="10" t="s">
        <v>35</v>
      </c>
      <c r="C37" s="19"/>
      <c r="D37" s="19"/>
      <c r="E37" s="44">
        <f>C37/$H$2</f>
        <v>0</v>
      </c>
      <c r="F37" s="65"/>
    </row>
    <row r="38" spans="2:6" x14ac:dyDescent="0.2">
      <c r="B38" s="10" t="s">
        <v>36</v>
      </c>
      <c r="C38" s="19">
        <v>2000</v>
      </c>
      <c r="D38" s="19"/>
      <c r="E38" s="44">
        <f>C38/$H$2</f>
        <v>3.8095238095238093</v>
      </c>
      <c r="F38" s="65"/>
    </row>
    <row r="39" spans="2:6" x14ac:dyDescent="0.2">
      <c r="B39" s="10" t="s">
        <v>37</v>
      </c>
      <c r="C39" s="19"/>
      <c r="D39" s="19"/>
      <c r="E39" s="44"/>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45">
        <f>ROUNDUP(K4*0.02,0)</f>
        <v>6</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4000</v>
      </c>
      <c r="D47" s="26"/>
      <c r="E47" s="26">
        <f>SUM(E34:E46)</f>
        <v>113.61904761904762</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c r="H51" s="142"/>
      <c r="I51" s="142"/>
      <c r="J51" s="143"/>
    </row>
    <row r="52" spans="1:10" x14ac:dyDescent="0.2">
      <c r="A52" s="56" t="s">
        <v>51</v>
      </c>
      <c r="B52" s="35">
        <v>3060</v>
      </c>
      <c r="C52" s="32">
        <v>474</v>
      </c>
      <c r="D52" s="33">
        <v>40</v>
      </c>
      <c r="G52" s="145"/>
      <c r="H52" s="146"/>
      <c r="I52" s="146"/>
      <c r="J52" s="147"/>
    </row>
    <row r="53" spans="1:10" ht="16" thickBot="1" x14ac:dyDescent="0.25">
      <c r="A53" s="56" t="s">
        <v>42</v>
      </c>
      <c r="B53" s="58">
        <f>3490-430</f>
        <v>3060</v>
      </c>
      <c r="C53" s="42">
        <v>474</v>
      </c>
      <c r="D53" s="43">
        <v>40</v>
      </c>
      <c r="G53" s="148"/>
      <c r="H53" s="149"/>
      <c r="I53" s="149"/>
      <c r="J53" s="150"/>
    </row>
    <row r="54" spans="1:10" x14ac:dyDescent="0.2">
      <c r="G54" s="148"/>
      <c r="H54" s="149"/>
      <c r="I54" s="149"/>
      <c r="J54" s="150"/>
    </row>
    <row r="55" spans="1:10" x14ac:dyDescent="0.2">
      <c r="G55" s="148"/>
      <c r="H55" s="149"/>
      <c r="I55" s="149"/>
      <c r="J55" s="150"/>
    </row>
    <row r="56" spans="1:10" ht="16" thickBot="1" x14ac:dyDescent="0.25">
      <c r="G56" s="151"/>
      <c r="H56" s="152"/>
      <c r="I56" s="152"/>
      <c r="J56" s="153"/>
    </row>
    <row r="57" spans="1:10" ht="16" thickBot="1" x14ac:dyDescent="0.25"/>
    <row r="58" spans="1:10" x14ac:dyDescent="0.2">
      <c r="G58" s="145"/>
      <c r="H58" s="146"/>
      <c r="I58" s="146"/>
      <c r="J58" s="147"/>
    </row>
    <row r="59" spans="1:10" x14ac:dyDescent="0.2">
      <c r="G59" s="148"/>
      <c r="H59" s="149"/>
      <c r="I59" s="149"/>
      <c r="J59" s="150"/>
    </row>
    <row r="60" spans="1:10" x14ac:dyDescent="0.2">
      <c r="G60" s="148"/>
      <c r="H60" s="149"/>
      <c r="I60" s="149"/>
      <c r="J60" s="150"/>
    </row>
    <row r="61" spans="1:10" ht="16" thickBot="1" x14ac:dyDescent="0.25">
      <c r="G61" s="151"/>
      <c r="H61" s="152"/>
      <c r="I61" s="152"/>
      <c r="J61" s="153"/>
    </row>
  </sheetData>
  <mergeCells count="4">
    <mergeCell ref="G58:J61"/>
    <mergeCell ref="G51:J51"/>
    <mergeCell ref="G52:J56"/>
    <mergeCell ref="B50:D5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7"/>
  <sheetViews>
    <sheetView topLeftCell="A5" workbookViewId="0">
      <selection activeCell="G21" sqref="G21"/>
    </sheetView>
  </sheetViews>
  <sheetFormatPr baseColWidth="10" defaultColWidth="11.5" defaultRowHeight="15" x14ac:dyDescent="0.2"/>
  <cols>
    <col min="2" max="2" width="27.33203125" bestFit="1" customWidth="1"/>
    <col min="6" max="6" width="22" bestFit="1" customWidth="1"/>
    <col min="7" max="7" width="21.33203125" bestFit="1" customWidth="1"/>
  </cols>
  <sheetData>
    <row r="1" spans="2:12" ht="16" thickBot="1" x14ac:dyDescent="0.25"/>
    <row r="2" spans="2:12" ht="16" thickBot="1" x14ac:dyDescent="0.25">
      <c r="C2" s="126" t="s">
        <v>43</v>
      </c>
      <c r="D2" s="127"/>
      <c r="E2" s="127"/>
      <c r="F2" s="93"/>
      <c r="G2" s="95">
        <v>525</v>
      </c>
      <c r="H2">
        <v>525</v>
      </c>
      <c r="I2">
        <v>525</v>
      </c>
      <c r="J2">
        <v>525</v>
      </c>
    </row>
    <row r="3" spans="2:12" ht="16" thickBot="1" x14ac:dyDescent="0.25">
      <c r="B3" s="1" t="s">
        <v>0</v>
      </c>
      <c r="C3" s="61">
        <v>2236</v>
      </c>
      <c r="D3" s="61">
        <v>4910</v>
      </c>
      <c r="E3" s="61">
        <v>4660</v>
      </c>
      <c r="F3" s="2" t="s">
        <v>1</v>
      </c>
      <c r="G3" s="24" t="s">
        <v>2</v>
      </c>
      <c r="H3" s="24" t="s">
        <v>3</v>
      </c>
      <c r="I3" s="23" t="s">
        <v>4</v>
      </c>
      <c r="J3" s="2" t="s">
        <v>5</v>
      </c>
      <c r="K3" s="2" t="s">
        <v>6</v>
      </c>
      <c r="L3" s="2" t="s">
        <v>71</v>
      </c>
    </row>
    <row r="4" spans="2:12" ht="16" thickBot="1" x14ac:dyDescent="0.25">
      <c r="B4" s="63"/>
      <c r="C4" s="5"/>
      <c r="D4" s="5"/>
      <c r="E4" s="5">
        <v>21100</v>
      </c>
      <c r="F4" s="6">
        <v>0</v>
      </c>
      <c r="G4" s="6">
        <v>150</v>
      </c>
      <c r="H4" s="6">
        <f>15+6</f>
        <v>21</v>
      </c>
      <c r="I4" s="6">
        <f>24250+2000</f>
        <v>26250</v>
      </c>
      <c r="J4" s="7">
        <f>+C4+D4+E4+F5+G5+H5+I4</f>
        <v>137125</v>
      </c>
      <c r="K4" s="7">
        <f>J4/I2</f>
        <v>261.1904761904762</v>
      </c>
      <c r="L4" s="72">
        <f>K4-C8</f>
        <v>1.190476190476204</v>
      </c>
    </row>
    <row r="5" spans="2:12" ht="16" thickBot="1" x14ac:dyDescent="0.25">
      <c r="B5" s="62"/>
      <c r="C5" s="9"/>
      <c r="D5" s="9"/>
      <c r="E5" s="9"/>
      <c r="F5" s="10">
        <f>+F4*G2</f>
        <v>0</v>
      </c>
      <c r="G5" s="10">
        <f>+G4*H2</f>
        <v>78750</v>
      </c>
      <c r="H5" s="10">
        <f>+H4*I2</f>
        <v>11025</v>
      </c>
      <c r="I5" s="10"/>
      <c r="J5" s="10"/>
      <c r="K5" s="10"/>
    </row>
    <row r="6" spans="2:12" ht="16" thickBot="1" x14ac:dyDescent="0.25"/>
    <row r="7" spans="2:12" x14ac:dyDescent="0.2">
      <c r="B7" s="11" t="s">
        <v>7</v>
      </c>
      <c r="C7" s="59"/>
      <c r="D7" s="12"/>
      <c r="E7" s="25"/>
      <c r="F7" s="25"/>
    </row>
    <row r="8" spans="2:12" x14ac:dyDescent="0.2">
      <c r="B8" s="13" t="s">
        <v>8</v>
      </c>
      <c r="C8" s="10">
        <v>260</v>
      </c>
    </row>
    <row r="9" spans="2:12" x14ac:dyDescent="0.2">
      <c r="B9" s="14" t="s">
        <v>9</v>
      </c>
      <c r="C9" s="15" t="s">
        <v>10</v>
      </c>
      <c r="D9" s="15"/>
      <c r="E9" s="15" t="s">
        <v>3</v>
      </c>
    </row>
    <row r="10" spans="2:12" x14ac:dyDescent="0.2">
      <c r="B10" s="10" t="s">
        <v>11</v>
      </c>
      <c r="C10" s="19">
        <f>+C47</f>
        <v>2000</v>
      </c>
      <c r="D10" s="10"/>
      <c r="E10" s="16">
        <f>+E47</f>
        <v>109.80952380952381</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c r="D34" s="19"/>
      <c r="E34" s="44">
        <f>C34/$I$2</f>
        <v>0</v>
      </c>
      <c r="F34" s="65"/>
    </row>
    <row r="35" spans="2:6" x14ac:dyDescent="0.2">
      <c r="B35" s="10" t="s">
        <v>33</v>
      </c>
      <c r="C35" s="19"/>
      <c r="D35" s="19"/>
      <c r="E35" s="44">
        <f>C35/$I$2</f>
        <v>0</v>
      </c>
      <c r="F35" s="65"/>
    </row>
    <row r="36" spans="2:6" x14ac:dyDescent="0.2">
      <c r="B36" s="10" t="s">
        <v>34</v>
      </c>
      <c r="C36" s="19"/>
      <c r="D36" s="19"/>
      <c r="E36" s="44">
        <v>100</v>
      </c>
      <c r="F36" s="65"/>
    </row>
    <row r="37" spans="2:6" x14ac:dyDescent="0.2">
      <c r="B37" s="10" t="s">
        <v>35</v>
      </c>
      <c r="C37" s="19"/>
      <c r="D37" s="19"/>
      <c r="E37" s="44">
        <f>C37/$I$2</f>
        <v>0</v>
      </c>
      <c r="F37" s="65"/>
    </row>
    <row r="38" spans="2:6" x14ac:dyDescent="0.2">
      <c r="B38" s="10" t="s">
        <v>36</v>
      </c>
      <c r="C38" s="19">
        <v>2000</v>
      </c>
      <c r="D38" s="19"/>
      <c r="E38" s="44">
        <f>C38/$I$2</f>
        <v>3.8095238095238093</v>
      </c>
      <c r="F38" s="65"/>
    </row>
    <row r="39" spans="2:6" x14ac:dyDescent="0.2">
      <c r="B39" s="10" t="s">
        <v>37</v>
      </c>
      <c r="C39" s="19"/>
      <c r="D39" s="19"/>
      <c r="E39" s="44"/>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81">
        <f>ROUNDUP(K4*0.02,0)</f>
        <v>6</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2000</v>
      </c>
      <c r="D47" s="26"/>
      <c r="E47" s="26">
        <f>SUM(E34:E46)</f>
        <v>109.80952380952381</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5" customHeight="1" thickBot="1" x14ac:dyDescent="0.25">
      <c r="A52" s="56" t="s">
        <v>51</v>
      </c>
      <c r="B52" s="35">
        <f>2540+7400</f>
        <v>9940</v>
      </c>
      <c r="C52" s="32">
        <f>474+4</f>
        <v>478</v>
      </c>
      <c r="D52" s="33">
        <v>40</v>
      </c>
      <c r="G52" s="146" t="s">
        <v>72</v>
      </c>
      <c r="H52" s="146"/>
      <c r="I52" s="146"/>
      <c r="J52" s="146"/>
    </row>
    <row r="53" spans="1:10" x14ac:dyDescent="0.2">
      <c r="A53" s="56" t="s">
        <v>42</v>
      </c>
      <c r="B53" s="35">
        <f>2540+7400</f>
        <v>9940</v>
      </c>
      <c r="C53" s="32">
        <f>474+4</f>
        <v>478</v>
      </c>
      <c r="D53" s="33">
        <v>40</v>
      </c>
      <c r="G53" s="149"/>
      <c r="H53" s="149"/>
      <c r="I53" s="149"/>
      <c r="J53" s="149"/>
    </row>
    <row r="54" spans="1:10" x14ac:dyDescent="0.2">
      <c r="G54" s="149"/>
      <c r="H54" s="149"/>
      <c r="I54" s="149"/>
      <c r="J54" s="149"/>
    </row>
    <row r="55" spans="1:10" x14ac:dyDescent="0.2">
      <c r="G55" s="149"/>
      <c r="H55" s="149"/>
      <c r="I55" s="149"/>
      <c r="J55" s="149"/>
    </row>
    <row r="56" spans="1:10" x14ac:dyDescent="0.2">
      <c r="G56" s="149"/>
      <c r="H56" s="149"/>
      <c r="I56" s="149"/>
      <c r="J56" s="149"/>
    </row>
    <row r="57" spans="1:10" x14ac:dyDescent="0.2">
      <c r="G57" s="149"/>
      <c r="H57" s="149"/>
      <c r="I57" s="149"/>
      <c r="J57" s="149"/>
    </row>
  </sheetData>
  <mergeCells count="4">
    <mergeCell ref="B50:D50"/>
    <mergeCell ref="G51:J51"/>
    <mergeCell ref="G52:J57"/>
    <mergeCell ref="C2:E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58"/>
  <sheetViews>
    <sheetView topLeftCell="A20" workbookViewId="0">
      <selection activeCell="E39" sqref="E39"/>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127"/>
      <c r="D2" s="127"/>
      <c r="E2" s="127"/>
      <c r="F2" s="128"/>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2" t="s">
        <v>71</v>
      </c>
    </row>
    <row r="4" spans="2:12" ht="16" thickBot="1" x14ac:dyDescent="0.25">
      <c r="B4" s="63"/>
      <c r="C4" s="5"/>
      <c r="D4" s="5"/>
      <c r="E4" s="5"/>
      <c r="F4" s="6">
        <v>0</v>
      </c>
      <c r="G4" s="6">
        <v>70</v>
      </c>
      <c r="H4" s="6">
        <f>159+10</f>
        <v>169</v>
      </c>
      <c r="I4" s="6">
        <f>114350 + 2000</f>
        <v>116350</v>
      </c>
      <c r="J4" s="7">
        <f>C4+D4+E4+F5+G5+H5+I4</f>
        <v>241825</v>
      </c>
      <c r="K4" s="71">
        <f>J4/H2</f>
        <v>460.61904761904759</v>
      </c>
      <c r="L4" s="72">
        <f>K4-C8</f>
        <v>2.619047619047592</v>
      </c>
    </row>
    <row r="5" spans="2:12" ht="16" thickBot="1" x14ac:dyDescent="0.25">
      <c r="B5" s="62"/>
      <c r="C5" s="9"/>
      <c r="D5" s="9"/>
      <c r="E5" s="9"/>
      <c r="F5" s="10">
        <f>+F4*F2</f>
        <v>0</v>
      </c>
      <c r="G5" s="10">
        <f>+G4*G2</f>
        <v>36750</v>
      </c>
      <c r="H5" s="10">
        <f>+H4*H2</f>
        <v>88725</v>
      </c>
      <c r="I5" s="10"/>
      <c r="J5" s="10"/>
      <c r="K5" s="10"/>
    </row>
    <row r="6" spans="2:12" ht="16" thickBot="1" x14ac:dyDescent="0.25"/>
    <row r="7" spans="2:12" ht="16" thickBot="1" x14ac:dyDescent="0.25">
      <c r="B7" s="60" t="s">
        <v>7</v>
      </c>
      <c r="C7" s="60"/>
      <c r="D7" s="25"/>
      <c r="E7" s="25"/>
      <c r="F7" s="25"/>
    </row>
    <row r="8" spans="2:12" x14ac:dyDescent="0.2">
      <c r="B8" s="70" t="s">
        <v>8</v>
      </c>
      <c r="C8" s="6">
        <v>458</v>
      </c>
    </row>
    <row r="9" spans="2:12" x14ac:dyDescent="0.2">
      <c r="B9" s="14" t="s">
        <v>9</v>
      </c>
      <c r="C9" s="15" t="s">
        <v>10</v>
      </c>
      <c r="D9" s="15"/>
      <c r="E9" s="15" t="s">
        <v>3</v>
      </c>
    </row>
    <row r="10" spans="2:12" x14ac:dyDescent="0.2">
      <c r="B10" s="10" t="s">
        <v>11</v>
      </c>
      <c r="C10" s="19">
        <f>+C47</f>
        <v>7250</v>
      </c>
      <c r="D10" s="10"/>
      <c r="E10" s="16">
        <f>+E47</f>
        <v>133.8095238095238</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c r="D34" s="19"/>
      <c r="E34" s="44">
        <f>C34/$H$2</f>
        <v>0</v>
      </c>
      <c r="F34" s="65"/>
    </row>
    <row r="35" spans="2:6" x14ac:dyDescent="0.2">
      <c r="B35" s="10" t="s">
        <v>33</v>
      </c>
      <c r="C35" s="19"/>
      <c r="D35" s="19"/>
      <c r="E35" s="44">
        <f>C35/$H$2</f>
        <v>0</v>
      </c>
      <c r="F35" s="65"/>
    </row>
    <row r="36" spans="2:6" x14ac:dyDescent="0.2">
      <c r="B36" s="10" t="s">
        <v>34</v>
      </c>
      <c r="C36" s="19"/>
      <c r="D36" s="19"/>
      <c r="E36" s="44">
        <v>100</v>
      </c>
      <c r="F36" s="65"/>
    </row>
    <row r="37" spans="2:6" x14ac:dyDescent="0.2">
      <c r="B37" s="10" t="s">
        <v>35</v>
      </c>
      <c r="C37" s="19"/>
      <c r="D37" s="19"/>
      <c r="E37" s="44">
        <f>C37/$H$2</f>
        <v>0</v>
      </c>
      <c r="F37" s="65"/>
    </row>
    <row r="38" spans="2:6" x14ac:dyDescent="0.2">
      <c r="B38" s="10" t="s">
        <v>36</v>
      </c>
      <c r="C38" s="19">
        <v>2000</v>
      </c>
      <c r="D38" s="19"/>
      <c r="E38" s="44">
        <f>C38/$H$2</f>
        <v>3.8095238095238093</v>
      </c>
      <c r="F38" s="65"/>
    </row>
    <row r="39" spans="2:6" x14ac:dyDescent="0.2">
      <c r="B39" s="87" t="s">
        <v>37</v>
      </c>
      <c r="C39" s="83">
        <v>5250</v>
      </c>
      <c r="D39" s="19"/>
      <c r="E39" s="44">
        <f>C39/$H$2+10</f>
        <v>20</v>
      </c>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45">
        <f>ROUNDUP(K4*0.02,0)</f>
        <v>10</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7250</v>
      </c>
      <c r="D47" s="26"/>
      <c r="E47" s="26">
        <f>SUM(E34:E46)</f>
        <v>133.8095238095238</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5" customHeight="1" thickBot="1" x14ac:dyDescent="0.25">
      <c r="A52" s="56" t="s">
        <v>51</v>
      </c>
      <c r="B52" s="35">
        <f>2540+7400</f>
        <v>9940</v>
      </c>
      <c r="C52" s="32">
        <f>474+4</f>
        <v>478</v>
      </c>
      <c r="D52" s="33">
        <v>40</v>
      </c>
      <c r="G52" s="145" t="s">
        <v>91</v>
      </c>
      <c r="H52" s="146"/>
      <c r="I52" s="146"/>
      <c r="J52" s="147"/>
    </row>
    <row r="53" spans="1:10" ht="16" thickBot="1" x14ac:dyDescent="0.25">
      <c r="A53" s="56" t="s">
        <v>42</v>
      </c>
      <c r="B53" s="28">
        <f>2540+7400</f>
        <v>9940</v>
      </c>
      <c r="C53" s="29">
        <f>474+4</f>
        <v>478</v>
      </c>
      <c r="D53" s="30">
        <v>40</v>
      </c>
      <c r="G53" s="148"/>
      <c r="H53" s="149"/>
      <c r="I53" s="149"/>
      <c r="J53" s="150"/>
    </row>
    <row r="54" spans="1:10" x14ac:dyDescent="0.2">
      <c r="G54" s="148"/>
      <c r="H54" s="149"/>
      <c r="I54" s="149"/>
      <c r="J54" s="150"/>
    </row>
    <row r="55" spans="1:10" x14ac:dyDescent="0.2">
      <c r="G55" s="148"/>
      <c r="H55" s="149"/>
      <c r="I55" s="149"/>
      <c r="J55" s="150"/>
    </row>
    <row r="56" spans="1:10" x14ac:dyDescent="0.2">
      <c r="G56" s="148"/>
      <c r="H56" s="149"/>
      <c r="I56" s="149"/>
      <c r="J56" s="150"/>
    </row>
    <row r="57" spans="1:10" x14ac:dyDescent="0.2">
      <c r="G57" s="148"/>
      <c r="H57" s="149"/>
      <c r="I57" s="149"/>
      <c r="J57" s="150"/>
    </row>
    <row r="58" spans="1:10" ht="16" thickBot="1" x14ac:dyDescent="0.25">
      <c r="G58" s="151"/>
      <c r="H58" s="152"/>
      <c r="I58" s="152"/>
      <c r="J58" s="153"/>
    </row>
  </sheetData>
  <mergeCells count="4">
    <mergeCell ref="B50:D50"/>
    <mergeCell ref="G51:J51"/>
    <mergeCell ref="G52:J58"/>
    <mergeCell ref="C2:F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L56"/>
  <sheetViews>
    <sheetView topLeftCell="A4"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2" t="s">
        <v>71</v>
      </c>
    </row>
    <row r="4" spans="2:12" ht="16" thickBot="1" x14ac:dyDescent="0.25">
      <c r="B4" s="63"/>
      <c r="C4" s="5"/>
      <c r="D4" s="5"/>
      <c r="E4" s="5"/>
      <c r="F4" s="6">
        <v>0</v>
      </c>
      <c r="G4" s="6">
        <v>10</v>
      </c>
      <c r="H4" s="6">
        <f>487+17</f>
        <v>504</v>
      </c>
      <c r="I4" s="6">
        <f>161645+2000</f>
        <v>163645</v>
      </c>
      <c r="J4" s="7">
        <f>C4+D4+E4+F5+G5+H5+I4</f>
        <v>433495</v>
      </c>
      <c r="K4" s="71">
        <f>J4/H2</f>
        <v>825.70476190476188</v>
      </c>
      <c r="L4" s="72">
        <f>K4-C8</f>
        <v>1.1047619047618582</v>
      </c>
    </row>
    <row r="5" spans="2:12" ht="16" thickBot="1" x14ac:dyDescent="0.25">
      <c r="B5" s="62"/>
      <c r="C5" s="9"/>
      <c r="D5" s="9"/>
      <c r="E5" s="9"/>
      <c r="F5" s="10">
        <f>+F4*F2</f>
        <v>0</v>
      </c>
      <c r="G5" s="10">
        <f>+G4*G2</f>
        <v>5250</v>
      </c>
      <c r="H5" s="10">
        <f>+H4*H2</f>
        <v>264600</v>
      </c>
      <c r="I5" s="10"/>
      <c r="J5" s="10"/>
      <c r="K5" s="10"/>
    </row>
    <row r="6" spans="2:12" ht="16" thickBot="1" x14ac:dyDescent="0.25"/>
    <row r="7" spans="2:12" x14ac:dyDescent="0.2">
      <c r="B7" s="11" t="s">
        <v>7</v>
      </c>
      <c r="C7" s="59"/>
      <c r="D7" s="12"/>
      <c r="E7" s="25"/>
      <c r="F7" s="25"/>
    </row>
    <row r="8" spans="2:12" x14ac:dyDescent="0.2">
      <c r="B8" s="13" t="s">
        <v>8</v>
      </c>
      <c r="C8" s="10">
        <v>824.6</v>
      </c>
    </row>
    <row r="9" spans="2:12" x14ac:dyDescent="0.2">
      <c r="B9" s="14" t="s">
        <v>9</v>
      </c>
      <c r="C9" s="15" t="s">
        <v>10</v>
      </c>
      <c r="D9" s="15"/>
      <c r="E9" s="15" t="s">
        <v>3</v>
      </c>
    </row>
    <row r="10" spans="2:12" x14ac:dyDescent="0.2">
      <c r="B10" s="10" t="s">
        <v>11</v>
      </c>
      <c r="C10" s="19">
        <f>+C47</f>
        <v>2000</v>
      </c>
      <c r="D10" s="10"/>
      <c r="E10" s="16">
        <f>+E47</f>
        <v>20.80952380952381</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v>2000</v>
      </c>
      <c r="D34" s="19"/>
      <c r="E34" s="44">
        <f t="shared" ref="E34:E39" si="0">C34/$H$2</f>
        <v>3.8095238095238093</v>
      </c>
      <c r="F34" s="65"/>
    </row>
    <row r="35" spans="2:6" x14ac:dyDescent="0.2">
      <c r="B35" s="10" t="s">
        <v>33</v>
      </c>
      <c r="C35" s="19"/>
      <c r="D35" s="19"/>
      <c r="E35" s="44">
        <f t="shared" si="0"/>
        <v>0</v>
      </c>
      <c r="F35" s="65"/>
    </row>
    <row r="36" spans="2:6" x14ac:dyDescent="0.2">
      <c r="B36" s="10" t="s">
        <v>34</v>
      </c>
      <c r="C36" s="19"/>
      <c r="D36" s="19"/>
      <c r="E36" s="44">
        <f t="shared" si="0"/>
        <v>0</v>
      </c>
      <c r="F36" s="65"/>
    </row>
    <row r="37" spans="2:6" x14ac:dyDescent="0.2">
      <c r="B37" s="10" t="s">
        <v>35</v>
      </c>
      <c r="C37" s="19"/>
      <c r="D37" s="19"/>
      <c r="E37" s="44">
        <f t="shared" si="0"/>
        <v>0</v>
      </c>
      <c r="F37" s="65"/>
    </row>
    <row r="38" spans="2:6" x14ac:dyDescent="0.2">
      <c r="B38" s="10" t="s">
        <v>36</v>
      </c>
      <c r="C38" s="19"/>
      <c r="D38" s="19"/>
      <c r="E38" s="44">
        <f t="shared" si="0"/>
        <v>0</v>
      </c>
      <c r="F38" s="65"/>
    </row>
    <row r="39" spans="2:6" x14ac:dyDescent="0.2">
      <c r="B39" s="87" t="s">
        <v>37</v>
      </c>
      <c r="C39" s="19"/>
      <c r="D39" s="19"/>
      <c r="E39" s="44">
        <f t="shared" si="0"/>
        <v>0</v>
      </c>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67">
        <f>ROUNDUP(K4*0.02,0)</f>
        <v>17</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2000</v>
      </c>
      <c r="D47" s="26"/>
      <c r="E47" s="26">
        <f>SUM(E34:E46)</f>
        <v>20.80952380952381</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6" thickBot="1" x14ac:dyDescent="0.25">
      <c r="A52" s="56" t="s">
        <v>51</v>
      </c>
      <c r="B52" s="35">
        <f>2540+7400</f>
        <v>9940</v>
      </c>
      <c r="C52" s="32">
        <f>474+4</f>
        <v>478</v>
      </c>
      <c r="D52" s="33">
        <v>40</v>
      </c>
      <c r="G52" s="145" t="s">
        <v>90</v>
      </c>
      <c r="H52" s="146"/>
      <c r="I52" s="146"/>
      <c r="J52" s="147"/>
    </row>
    <row r="53" spans="1:10" ht="16" thickBot="1" x14ac:dyDescent="0.25">
      <c r="A53" s="56" t="s">
        <v>42</v>
      </c>
      <c r="B53" s="28">
        <f>2540+7400</f>
        <v>9940</v>
      </c>
      <c r="C53" s="29">
        <f>474+4</f>
        <v>478</v>
      </c>
      <c r="D53" s="30">
        <v>40</v>
      </c>
      <c r="G53" s="148"/>
      <c r="H53" s="149"/>
      <c r="I53" s="149"/>
      <c r="J53" s="150"/>
    </row>
    <row r="54" spans="1:10" x14ac:dyDescent="0.2">
      <c r="G54" s="148"/>
      <c r="H54" s="149"/>
      <c r="I54" s="149"/>
      <c r="J54" s="150"/>
    </row>
    <row r="55" spans="1:10" x14ac:dyDescent="0.2">
      <c r="G55" s="148"/>
      <c r="H55" s="149"/>
      <c r="I55" s="149"/>
      <c r="J55" s="150"/>
    </row>
    <row r="56" spans="1:10" ht="16" thickBot="1" x14ac:dyDescent="0.25">
      <c r="G56" s="151"/>
      <c r="H56" s="152"/>
      <c r="I56" s="152"/>
      <c r="J56" s="153"/>
    </row>
  </sheetData>
  <mergeCells count="3">
    <mergeCell ref="B50:D50"/>
    <mergeCell ref="G51:J51"/>
    <mergeCell ref="G52:J5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56"/>
  <sheetViews>
    <sheetView topLeftCell="A4"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2" t="s">
        <v>71</v>
      </c>
    </row>
    <row r="4" spans="2:12" ht="16" thickBot="1" x14ac:dyDescent="0.25">
      <c r="B4" s="63"/>
      <c r="C4" s="5"/>
      <c r="D4" s="5"/>
      <c r="E4" s="5"/>
      <c r="F4" s="6">
        <v>0</v>
      </c>
      <c r="G4" s="6"/>
      <c r="H4" s="6">
        <f>215+6</f>
        <v>221</v>
      </c>
      <c r="I4" s="6">
        <f>14500+4000</f>
        <v>18500</v>
      </c>
      <c r="J4" s="7">
        <f>C4+D4+E4+F5+G5+H5+I4</f>
        <v>134525</v>
      </c>
      <c r="K4" s="7">
        <f>J4/H2</f>
        <v>256.23809523809524</v>
      </c>
      <c r="L4" s="72">
        <f>K4-C8</f>
        <v>1.2380952380952408</v>
      </c>
    </row>
    <row r="5" spans="2:12" ht="16" thickBot="1" x14ac:dyDescent="0.25">
      <c r="B5" s="62"/>
      <c r="C5" s="9"/>
      <c r="D5" s="9"/>
      <c r="E5" s="9"/>
      <c r="F5" s="10">
        <f>+F4*F2</f>
        <v>0</v>
      </c>
      <c r="G5" s="10">
        <f>+G4*G2</f>
        <v>0</v>
      </c>
      <c r="H5" s="10">
        <f>+H4*H2</f>
        <v>116025</v>
      </c>
      <c r="I5" s="10"/>
      <c r="J5" s="10"/>
      <c r="K5" s="10"/>
    </row>
    <row r="6" spans="2:12" ht="16" thickBot="1" x14ac:dyDescent="0.25"/>
    <row r="7" spans="2:12" x14ac:dyDescent="0.2">
      <c r="B7" s="11" t="s">
        <v>7</v>
      </c>
      <c r="C7" s="59"/>
      <c r="D7" s="12"/>
      <c r="E7" s="25"/>
      <c r="F7" s="25"/>
    </row>
    <row r="8" spans="2:12" x14ac:dyDescent="0.2">
      <c r="B8" s="13" t="s">
        <v>8</v>
      </c>
      <c r="C8" s="10">
        <v>255</v>
      </c>
    </row>
    <row r="9" spans="2:12" x14ac:dyDescent="0.2">
      <c r="B9" s="14" t="s">
        <v>9</v>
      </c>
      <c r="C9" s="15" t="s">
        <v>10</v>
      </c>
      <c r="D9" s="15"/>
      <c r="E9" s="15" t="s">
        <v>3</v>
      </c>
    </row>
    <row r="10" spans="2:12" x14ac:dyDescent="0.2">
      <c r="B10" s="10" t="s">
        <v>11</v>
      </c>
      <c r="C10" s="19">
        <f>+C47</f>
        <v>4000</v>
      </c>
      <c r="D10" s="10"/>
      <c r="E10" s="16">
        <f>C10/H2</f>
        <v>7.6190476190476186</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v>2000</v>
      </c>
      <c r="D34" s="19"/>
      <c r="E34" s="44">
        <f t="shared" ref="E34:E39" si="0">C34/$H$2</f>
        <v>3.8095238095238093</v>
      </c>
      <c r="F34" s="65"/>
    </row>
    <row r="35" spans="2:6" x14ac:dyDescent="0.2">
      <c r="B35" s="10" t="s">
        <v>33</v>
      </c>
      <c r="C35" s="19"/>
      <c r="D35" s="19"/>
      <c r="E35" s="44">
        <f t="shared" si="0"/>
        <v>0</v>
      </c>
      <c r="F35" s="65"/>
    </row>
    <row r="36" spans="2:6" x14ac:dyDescent="0.2">
      <c r="B36" s="10" t="s">
        <v>34</v>
      </c>
      <c r="C36" s="19"/>
      <c r="D36" s="19"/>
      <c r="E36" s="44">
        <f t="shared" si="0"/>
        <v>0</v>
      </c>
      <c r="F36" s="65"/>
    </row>
    <row r="37" spans="2:6" x14ac:dyDescent="0.2">
      <c r="B37" s="10" t="s">
        <v>35</v>
      </c>
      <c r="C37" s="19"/>
      <c r="D37" s="19"/>
      <c r="E37" s="44">
        <f t="shared" si="0"/>
        <v>0</v>
      </c>
      <c r="F37" s="65"/>
    </row>
    <row r="38" spans="2:6" x14ac:dyDescent="0.2">
      <c r="B38" s="10" t="s">
        <v>36</v>
      </c>
      <c r="C38" s="19">
        <v>2000</v>
      </c>
      <c r="D38" s="19"/>
      <c r="E38" s="44">
        <f t="shared" si="0"/>
        <v>3.8095238095238093</v>
      </c>
      <c r="F38" s="65"/>
    </row>
    <row r="39" spans="2:6" x14ac:dyDescent="0.2">
      <c r="B39" s="87" t="s">
        <v>37</v>
      </c>
      <c r="C39" s="19"/>
      <c r="D39" s="19"/>
      <c r="E39" s="44">
        <f t="shared" si="0"/>
        <v>0</v>
      </c>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45">
        <f>ROUNDUP(K4*0.02,0)</f>
        <v>6</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4000</v>
      </c>
      <c r="D47" s="26"/>
      <c r="E47" s="26">
        <f>SUM(E34:E46)</f>
        <v>13.619047619047619</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6" thickBot="1" x14ac:dyDescent="0.25">
      <c r="A52" s="56" t="s">
        <v>51</v>
      </c>
      <c r="B52" s="35">
        <f>2540+7400</f>
        <v>9940</v>
      </c>
      <c r="C52" s="32">
        <f>474+4</f>
        <v>478</v>
      </c>
      <c r="D52" s="33">
        <v>40</v>
      </c>
      <c r="G52" s="145" t="s">
        <v>74</v>
      </c>
      <c r="H52" s="146"/>
      <c r="I52" s="146"/>
      <c r="J52" s="147"/>
    </row>
    <row r="53" spans="1:10" ht="16" thickBot="1" x14ac:dyDescent="0.25">
      <c r="A53" s="56" t="s">
        <v>42</v>
      </c>
      <c r="B53" s="28">
        <f>2540+7400</f>
        <v>9940</v>
      </c>
      <c r="C53" s="29">
        <f>474+4</f>
        <v>478</v>
      </c>
      <c r="D53" s="30">
        <v>40</v>
      </c>
      <c r="G53" s="148"/>
      <c r="H53" s="149"/>
      <c r="I53" s="149"/>
      <c r="J53" s="150"/>
    </row>
    <row r="54" spans="1:10" x14ac:dyDescent="0.2">
      <c r="G54" s="148"/>
      <c r="H54" s="149"/>
      <c r="I54" s="149"/>
      <c r="J54" s="150"/>
    </row>
    <row r="55" spans="1:10" x14ac:dyDescent="0.2">
      <c r="G55" s="148"/>
      <c r="H55" s="149"/>
      <c r="I55" s="149"/>
      <c r="J55" s="150"/>
    </row>
    <row r="56" spans="1:10" ht="16" thickBot="1" x14ac:dyDescent="0.25">
      <c r="G56" s="151"/>
      <c r="H56" s="152"/>
      <c r="I56" s="152"/>
      <c r="J56" s="153"/>
    </row>
  </sheetData>
  <mergeCells count="3">
    <mergeCell ref="B50:D50"/>
    <mergeCell ref="G51:J51"/>
    <mergeCell ref="G52:J5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3"/>
  <sheetViews>
    <sheetView topLeftCell="A34" workbookViewId="0">
      <selection activeCell="E40" sqref="E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82" t="s">
        <v>71</v>
      </c>
    </row>
    <row r="4" spans="2:12" x14ac:dyDescent="0.2">
      <c r="B4" s="63"/>
      <c r="C4" s="5"/>
      <c r="D4" s="5"/>
      <c r="E4" s="5"/>
      <c r="F4" s="6">
        <v>0</v>
      </c>
      <c r="G4" s="6">
        <v>40</v>
      </c>
      <c r="H4" s="6">
        <f>21+2+20</f>
        <v>43</v>
      </c>
      <c r="I4" s="6"/>
      <c r="J4" s="7">
        <f>C4+D4+E4+F5+G5+H5+I4</f>
        <v>43575</v>
      </c>
      <c r="K4" s="7">
        <f>J4/H2</f>
        <v>83</v>
      </c>
      <c r="L4" s="16">
        <f>K4-C8</f>
        <v>0</v>
      </c>
    </row>
    <row r="5" spans="2:12" ht="16" thickBot="1" x14ac:dyDescent="0.25">
      <c r="B5" s="62"/>
      <c r="C5" s="9"/>
      <c r="D5" s="9"/>
      <c r="E5" s="9"/>
      <c r="F5" s="10">
        <f>+F4*F2</f>
        <v>0</v>
      </c>
      <c r="G5" s="10">
        <f>+G4*G2</f>
        <v>21000</v>
      </c>
      <c r="H5" s="10">
        <f>+H4*H2</f>
        <v>22575</v>
      </c>
      <c r="I5" s="10"/>
      <c r="J5" s="10"/>
      <c r="K5" s="10"/>
    </row>
    <row r="6" spans="2:12" ht="16" thickBot="1" x14ac:dyDescent="0.25"/>
    <row r="7" spans="2:12" x14ac:dyDescent="0.2">
      <c r="B7" s="11" t="s">
        <v>7</v>
      </c>
      <c r="C7" s="59"/>
      <c r="D7" s="12"/>
      <c r="E7" s="25"/>
      <c r="F7" s="25"/>
    </row>
    <row r="8" spans="2:12" x14ac:dyDescent="0.2">
      <c r="B8" s="13" t="s">
        <v>8</v>
      </c>
      <c r="C8" s="10">
        <v>83</v>
      </c>
    </row>
    <row r="9" spans="2:12" x14ac:dyDescent="0.2">
      <c r="B9" s="14" t="s">
        <v>9</v>
      </c>
      <c r="C9" s="15" t="s">
        <v>10</v>
      </c>
      <c r="D9" s="15"/>
      <c r="E9" s="15" t="s">
        <v>3</v>
      </c>
    </row>
    <row r="10" spans="2:12" x14ac:dyDescent="0.2">
      <c r="B10" s="10" t="s">
        <v>11</v>
      </c>
      <c r="C10" s="19">
        <f>+C47</f>
        <v>2000</v>
      </c>
      <c r="D10" s="10"/>
      <c r="E10" s="16">
        <f>+E47</f>
        <v>25.80952380952381</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27</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c r="D34" s="19"/>
      <c r="E34" s="44">
        <f>C34/$H$2</f>
        <v>0</v>
      </c>
      <c r="F34" s="65"/>
    </row>
    <row r="35" spans="2:6" x14ac:dyDescent="0.2">
      <c r="B35" s="10" t="s">
        <v>33</v>
      </c>
      <c r="C35" s="19">
        <v>2000</v>
      </c>
      <c r="D35" s="19"/>
      <c r="E35" s="44">
        <f>C35/$H$2</f>
        <v>3.8095238095238093</v>
      </c>
      <c r="F35" s="65"/>
    </row>
    <row r="36" spans="2:6" x14ac:dyDescent="0.2">
      <c r="B36" s="10" t="s">
        <v>34</v>
      </c>
      <c r="C36" s="19"/>
      <c r="D36" s="19"/>
      <c r="E36" s="44">
        <f>C36/$H$2</f>
        <v>0</v>
      </c>
      <c r="F36" s="65"/>
    </row>
    <row r="37" spans="2:6" x14ac:dyDescent="0.2">
      <c r="B37" s="10" t="s">
        <v>35</v>
      </c>
      <c r="C37" s="19"/>
      <c r="D37" s="19"/>
      <c r="E37" s="44">
        <f>C37/$H$2</f>
        <v>0</v>
      </c>
      <c r="F37" s="65"/>
    </row>
    <row r="38" spans="2:6" x14ac:dyDescent="0.2">
      <c r="B38" s="10" t="s">
        <v>36</v>
      </c>
      <c r="C38" s="19"/>
      <c r="D38" s="19"/>
      <c r="E38" s="44">
        <f>C38/$H$2</f>
        <v>0</v>
      </c>
      <c r="F38" s="65"/>
    </row>
    <row r="39" spans="2:6" x14ac:dyDescent="0.2">
      <c r="B39" s="69" t="s">
        <v>37</v>
      </c>
      <c r="C39" s="19"/>
      <c r="D39" s="19"/>
      <c r="E39" s="44">
        <v>20</v>
      </c>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45">
        <f>ROUNDUP(K4*0.02,0)</f>
        <v>2</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2000</v>
      </c>
      <c r="D47" s="26"/>
      <c r="E47" s="26">
        <f>SUM(E34:E46)</f>
        <v>25.80952380952381</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6" thickBot="1" x14ac:dyDescent="0.25">
      <c r="A52" s="56" t="s">
        <v>51</v>
      </c>
      <c r="B52" s="35">
        <f>2540+7400</f>
        <v>9940</v>
      </c>
      <c r="C52" s="32">
        <f>474+4</f>
        <v>478</v>
      </c>
      <c r="D52" s="33">
        <v>40</v>
      </c>
      <c r="G52" s="145" t="s">
        <v>59</v>
      </c>
      <c r="H52" s="146"/>
      <c r="I52" s="146"/>
      <c r="J52" s="147"/>
    </row>
    <row r="53" spans="1:10" ht="16" thickBot="1" x14ac:dyDescent="0.25">
      <c r="A53" s="56" t="s">
        <v>42</v>
      </c>
      <c r="B53" s="28">
        <f>B52-2000</f>
        <v>7940</v>
      </c>
      <c r="C53" s="29">
        <f>474+4</f>
        <v>478</v>
      </c>
      <c r="D53" s="30">
        <v>40</v>
      </c>
      <c r="G53" s="151"/>
      <c r="H53" s="152"/>
      <c r="I53" s="152"/>
      <c r="J53" s="153"/>
    </row>
  </sheetData>
  <mergeCells count="3">
    <mergeCell ref="B50:D50"/>
    <mergeCell ref="G51:J51"/>
    <mergeCell ref="G52:J5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L56"/>
  <sheetViews>
    <sheetView workbookViewId="0">
      <selection activeCell="C16" sqref="C16"/>
    </sheetView>
  </sheetViews>
  <sheetFormatPr baseColWidth="10" defaultColWidth="11.5" defaultRowHeight="15" x14ac:dyDescent="0.2"/>
  <cols>
    <col min="2" max="2" width="34.6640625" bestFit="1" customWidth="1"/>
    <col min="7" max="7" width="21.33203125" bestFit="1" customWidth="1"/>
  </cols>
  <sheetData>
    <row r="1" spans="2:12" ht="16" thickBot="1" x14ac:dyDescent="0.25"/>
    <row r="2" spans="2:12" ht="16" thickBot="1" x14ac:dyDescent="0.25">
      <c r="C2" s="93"/>
      <c r="D2" s="93"/>
      <c r="E2" s="93"/>
      <c r="F2" s="94"/>
      <c r="G2">
        <v>525</v>
      </c>
      <c r="H2">
        <v>525</v>
      </c>
      <c r="I2">
        <v>525</v>
      </c>
    </row>
    <row r="3" spans="2:12" ht="16" thickBot="1" x14ac:dyDescent="0.25">
      <c r="B3" s="1" t="s">
        <v>0</v>
      </c>
      <c r="C3" s="61">
        <v>2236</v>
      </c>
      <c r="D3" s="61">
        <v>4910</v>
      </c>
      <c r="E3" s="61">
        <v>4660</v>
      </c>
      <c r="F3" s="2" t="s">
        <v>1</v>
      </c>
      <c r="G3" s="23" t="s">
        <v>2</v>
      </c>
      <c r="H3" s="24" t="s">
        <v>3</v>
      </c>
      <c r="I3" s="23" t="s">
        <v>4</v>
      </c>
      <c r="J3" s="2" t="s">
        <v>5</v>
      </c>
      <c r="K3" s="2" t="s">
        <v>6</v>
      </c>
      <c r="L3" s="2" t="s">
        <v>71</v>
      </c>
    </row>
    <row r="4" spans="2:12" ht="16" thickBot="1" x14ac:dyDescent="0.25">
      <c r="B4" s="63"/>
      <c r="C4" s="5"/>
      <c r="D4" s="5"/>
      <c r="E4" s="5"/>
      <c r="F4" s="6">
        <v>0</v>
      </c>
      <c r="G4" s="6"/>
      <c r="H4" s="6">
        <f>115+4</f>
        <v>119</v>
      </c>
      <c r="I4" s="6"/>
      <c r="J4" s="7">
        <f>C4+D4+E4+F5+G5+H5+I4</f>
        <v>62475</v>
      </c>
      <c r="K4" s="71">
        <f>J4/H2</f>
        <v>119</v>
      </c>
      <c r="L4" s="80">
        <f>K4-C8</f>
        <v>-39.5</v>
      </c>
    </row>
    <row r="5" spans="2:12" ht="16" thickBot="1" x14ac:dyDescent="0.25">
      <c r="B5" s="62"/>
      <c r="C5" s="9"/>
      <c r="D5" s="9"/>
      <c r="E5" s="9"/>
      <c r="F5" s="10">
        <f>+F4*F2</f>
        <v>0</v>
      </c>
      <c r="G5" s="10">
        <f>+G4*G2</f>
        <v>0</v>
      </c>
      <c r="H5" s="10">
        <f>+H4*H2</f>
        <v>62475</v>
      </c>
      <c r="I5" s="10"/>
      <c r="J5" s="10"/>
      <c r="K5" s="10"/>
    </row>
    <row r="6" spans="2:12" ht="16" thickBot="1" x14ac:dyDescent="0.25"/>
    <row r="7" spans="2:12" x14ac:dyDescent="0.2">
      <c r="B7" s="11" t="s">
        <v>7</v>
      </c>
      <c r="C7" s="59"/>
      <c r="D7" s="12"/>
      <c r="E7" s="25"/>
      <c r="F7" s="25"/>
    </row>
    <row r="8" spans="2:12" x14ac:dyDescent="0.2">
      <c r="B8" s="13" t="s">
        <v>8</v>
      </c>
      <c r="C8" s="10">
        <v>158.5</v>
      </c>
    </row>
    <row r="9" spans="2:12" x14ac:dyDescent="0.2">
      <c r="B9" s="14" t="s">
        <v>9</v>
      </c>
      <c r="C9" s="15" t="s">
        <v>10</v>
      </c>
      <c r="D9" s="15"/>
      <c r="E9" s="15" t="s">
        <v>3</v>
      </c>
    </row>
    <row r="10" spans="2:12" x14ac:dyDescent="0.2">
      <c r="B10" s="10" t="s">
        <v>11</v>
      </c>
      <c r="C10" s="19">
        <f>+C47</f>
        <v>4000</v>
      </c>
      <c r="D10" s="10"/>
      <c r="E10" s="16">
        <f>+E47</f>
        <v>10.619047619047619</v>
      </c>
    </row>
    <row r="11" spans="2:12" x14ac:dyDescent="0.2">
      <c r="B11" s="10" t="s">
        <v>12</v>
      </c>
      <c r="C11" s="10"/>
      <c r="D11" s="10"/>
      <c r="E11" s="10"/>
    </row>
    <row r="12" spans="2:12" x14ac:dyDescent="0.2">
      <c r="B12" s="10" t="s">
        <v>13</v>
      </c>
      <c r="C12" s="10"/>
      <c r="D12" s="10"/>
      <c r="E12" s="10"/>
    </row>
    <row r="13" spans="2:12" x14ac:dyDescent="0.2">
      <c r="B13" s="10" t="s">
        <v>14</v>
      </c>
      <c r="C13" s="10"/>
      <c r="D13" s="10"/>
      <c r="E13" s="10"/>
    </row>
    <row r="14" spans="2:12" x14ac:dyDescent="0.2">
      <c r="B14" s="10" t="s">
        <v>15</v>
      </c>
      <c r="C14" s="10"/>
      <c r="D14" s="10"/>
      <c r="E14" s="10"/>
    </row>
    <row r="15" spans="2:12" x14ac:dyDescent="0.2">
      <c r="B15" s="10" t="s">
        <v>16</v>
      </c>
      <c r="C15" s="10"/>
      <c r="D15" s="10"/>
      <c r="E15" s="10"/>
    </row>
    <row r="16" spans="2:12" x14ac:dyDescent="0.2">
      <c r="B16" s="10" t="s">
        <v>17</v>
      </c>
      <c r="C16" s="10"/>
      <c r="D16" s="10"/>
      <c r="E16" s="16">
        <f>C16/G2</f>
        <v>0</v>
      </c>
    </row>
    <row r="17" spans="2:6" x14ac:dyDescent="0.2">
      <c r="B17" s="10" t="s">
        <v>18</v>
      </c>
      <c r="C17" s="10"/>
      <c r="D17" s="19"/>
      <c r="E17" s="16"/>
    </row>
    <row r="18" spans="2:6" x14ac:dyDescent="0.2">
      <c r="B18" s="10" t="s">
        <v>19</v>
      </c>
      <c r="C18" s="10"/>
      <c r="D18" s="10"/>
      <c r="E18" s="16"/>
    </row>
    <row r="19" spans="2:6" x14ac:dyDescent="0.2">
      <c r="B19" s="10" t="s">
        <v>20</v>
      </c>
      <c r="C19" s="10"/>
      <c r="D19" s="10"/>
      <c r="E19" s="16"/>
    </row>
    <row r="20" spans="2:6" x14ac:dyDescent="0.2">
      <c r="B20" s="10" t="s">
        <v>21</v>
      </c>
      <c r="C20" s="10"/>
      <c r="D20" s="10"/>
      <c r="E20" s="16"/>
    </row>
    <row r="21" spans="2:6" x14ac:dyDescent="0.2">
      <c r="B21" s="10" t="s">
        <v>22</v>
      </c>
      <c r="C21" s="10"/>
      <c r="D21" s="10"/>
      <c r="E21" s="16"/>
    </row>
    <row r="22" spans="2:6" x14ac:dyDescent="0.2">
      <c r="B22" s="10" t="s">
        <v>23</v>
      </c>
      <c r="C22" s="10"/>
      <c r="D22" s="10"/>
      <c r="E22" s="16"/>
    </row>
    <row r="23" spans="2:6" x14ac:dyDescent="0.2">
      <c r="B23" s="10" t="s">
        <v>24</v>
      </c>
      <c r="C23" s="10"/>
      <c r="D23" s="10"/>
      <c r="E23" s="16"/>
    </row>
    <row r="24" spans="2:6" x14ac:dyDescent="0.2">
      <c r="B24" s="10" t="s">
        <v>25</v>
      </c>
      <c r="C24" s="10"/>
      <c r="D24" s="10"/>
      <c r="E24" s="16"/>
    </row>
    <row r="25" spans="2:6" x14ac:dyDescent="0.2">
      <c r="B25" s="10" t="s">
        <v>26</v>
      </c>
      <c r="C25" s="10"/>
      <c r="D25" s="10"/>
      <c r="E25" s="16"/>
    </row>
    <row r="26" spans="2:6" x14ac:dyDescent="0.2">
      <c r="B26" s="10" t="s">
        <v>88</v>
      </c>
      <c r="C26" s="10">
        <v>51</v>
      </c>
      <c r="D26" s="10"/>
      <c r="E26" s="16">
        <f>C26/G2</f>
        <v>9.7142857142857142E-2</v>
      </c>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6" x14ac:dyDescent="0.2">
      <c r="B33" s="14" t="s">
        <v>11</v>
      </c>
      <c r="C33" s="15" t="s">
        <v>10</v>
      </c>
      <c r="D33" s="15"/>
      <c r="E33" s="14" t="s">
        <v>3</v>
      </c>
      <c r="F33" s="64"/>
    </row>
    <row r="34" spans="2:6" x14ac:dyDescent="0.2">
      <c r="B34" s="10" t="s">
        <v>32</v>
      </c>
      <c r="C34" s="19">
        <v>2000</v>
      </c>
      <c r="D34" s="19"/>
      <c r="E34" s="44">
        <f>C34/$H$2</f>
        <v>3.8095238095238093</v>
      </c>
      <c r="F34" s="65"/>
    </row>
    <row r="35" spans="2:6" x14ac:dyDescent="0.2">
      <c r="B35" s="10" t="s">
        <v>33</v>
      </c>
      <c r="C35" s="19"/>
      <c r="D35" s="19"/>
      <c r="E35" s="44">
        <f>C35/$H$2</f>
        <v>0</v>
      </c>
      <c r="F35" s="65"/>
    </row>
    <row r="36" spans="2:6" x14ac:dyDescent="0.2">
      <c r="B36" s="10" t="s">
        <v>34</v>
      </c>
      <c r="C36" s="19"/>
      <c r="D36" s="19"/>
      <c r="E36" s="44">
        <f>C36/$H$2</f>
        <v>0</v>
      </c>
      <c r="F36" s="65"/>
    </row>
    <row r="37" spans="2:6" x14ac:dyDescent="0.2">
      <c r="B37" s="10" t="s">
        <v>35</v>
      </c>
      <c r="C37" s="19"/>
      <c r="D37" s="19"/>
      <c r="E37" s="44">
        <f>C37/$H$2</f>
        <v>0</v>
      </c>
      <c r="F37" s="65"/>
    </row>
    <row r="38" spans="2:6" x14ac:dyDescent="0.2">
      <c r="B38" s="10" t="s">
        <v>36</v>
      </c>
      <c r="C38" s="19">
        <v>2000</v>
      </c>
      <c r="D38" s="19"/>
      <c r="E38" s="44">
        <f>C38/$H$2</f>
        <v>3.8095238095238093</v>
      </c>
      <c r="F38" s="65"/>
    </row>
    <row r="39" spans="2:6" x14ac:dyDescent="0.2">
      <c r="B39" s="68" t="s">
        <v>37</v>
      </c>
      <c r="C39" s="19"/>
      <c r="D39" s="19"/>
      <c r="E39" s="44"/>
      <c r="F39" s="65"/>
    </row>
    <row r="40" spans="2:6" x14ac:dyDescent="0.2">
      <c r="B40" s="10" t="s">
        <v>38</v>
      </c>
      <c r="C40" s="19"/>
      <c r="D40" s="19"/>
      <c r="E40" s="19"/>
      <c r="F40" s="65"/>
    </row>
    <row r="41" spans="2:6" x14ac:dyDescent="0.2">
      <c r="B41" s="10" t="s">
        <v>39</v>
      </c>
      <c r="C41" s="19"/>
      <c r="D41" s="19"/>
      <c r="E41" s="19"/>
      <c r="F41" s="65"/>
    </row>
    <row r="42" spans="2:6" x14ac:dyDescent="0.2">
      <c r="B42" s="10"/>
      <c r="C42" s="19"/>
      <c r="D42" s="19"/>
      <c r="E42" s="10"/>
      <c r="F42" s="65"/>
    </row>
    <row r="43" spans="2:6" x14ac:dyDescent="0.2">
      <c r="B43" s="20">
        <v>0.02</v>
      </c>
      <c r="C43" s="19"/>
      <c r="D43" s="19"/>
      <c r="E43" s="45">
        <f>ROUNDUP(K4*0.02,0)</f>
        <v>3</v>
      </c>
      <c r="F43" s="65"/>
    </row>
    <row r="44" spans="2:6" x14ac:dyDescent="0.2">
      <c r="B44" s="10"/>
      <c r="C44" s="19"/>
      <c r="D44" s="19"/>
      <c r="E44" s="10"/>
      <c r="F44" s="65"/>
    </row>
    <row r="45" spans="2:6" x14ac:dyDescent="0.2">
      <c r="B45" s="10"/>
      <c r="C45" s="19"/>
      <c r="D45" s="19"/>
      <c r="E45" s="10"/>
      <c r="F45" s="65"/>
    </row>
    <row r="46" spans="2:6" x14ac:dyDescent="0.2">
      <c r="B46" s="10"/>
      <c r="C46" s="19"/>
      <c r="D46" s="19"/>
      <c r="E46" s="10"/>
      <c r="F46" s="65"/>
    </row>
    <row r="47" spans="2:6" x14ac:dyDescent="0.2">
      <c r="B47" s="13" t="s">
        <v>44</v>
      </c>
      <c r="C47" s="26">
        <f>SUM(C34:C46)</f>
        <v>4000</v>
      </c>
      <c r="D47" s="26"/>
      <c r="E47" s="26">
        <f>SUM(E34:E46)</f>
        <v>10.619047619047619</v>
      </c>
      <c r="F47" s="66"/>
    </row>
    <row r="49" spans="1:10" ht="16" thickBot="1" x14ac:dyDescent="0.25"/>
    <row r="50" spans="1:10" ht="16" thickBot="1" x14ac:dyDescent="0.25">
      <c r="B50" s="141" t="s">
        <v>40</v>
      </c>
      <c r="C50" s="142"/>
      <c r="D50" s="143"/>
      <c r="E50" s="64"/>
    </row>
    <row r="51" spans="1:10" ht="16" thickBot="1" x14ac:dyDescent="0.25">
      <c r="B51" s="53" t="s">
        <v>10</v>
      </c>
      <c r="C51" s="54" t="s">
        <v>3</v>
      </c>
      <c r="D51" s="55" t="s">
        <v>2</v>
      </c>
      <c r="F51" s="27"/>
      <c r="G51" s="141" t="s">
        <v>45</v>
      </c>
      <c r="H51" s="142"/>
      <c r="I51" s="142"/>
      <c r="J51" s="143"/>
    </row>
    <row r="52" spans="1:10" ht="14.5" customHeight="1" x14ac:dyDescent="0.2">
      <c r="A52" s="56" t="s">
        <v>51</v>
      </c>
      <c r="B52" s="35">
        <v>7940</v>
      </c>
      <c r="C52" s="36">
        <f>474+4</f>
        <v>478</v>
      </c>
      <c r="D52" s="37">
        <v>40</v>
      </c>
      <c r="G52" s="145" t="s">
        <v>89</v>
      </c>
      <c r="H52" s="146"/>
      <c r="I52" s="146"/>
      <c r="J52" s="147"/>
    </row>
    <row r="53" spans="1:10" ht="16" thickBot="1" x14ac:dyDescent="0.25">
      <c r="A53" s="56" t="s">
        <v>42</v>
      </c>
      <c r="B53" s="41">
        <f>B52-4000</f>
        <v>3940</v>
      </c>
      <c r="C53" s="42">
        <f>474+4</f>
        <v>478</v>
      </c>
      <c r="D53" s="43">
        <v>40</v>
      </c>
      <c r="G53" s="148"/>
      <c r="H53" s="149"/>
      <c r="I53" s="149"/>
      <c r="J53" s="150"/>
    </row>
    <row r="54" spans="1:10" x14ac:dyDescent="0.2">
      <c r="G54" s="148"/>
      <c r="H54" s="149"/>
      <c r="I54" s="149"/>
      <c r="J54" s="150"/>
    </row>
    <row r="55" spans="1:10" ht="16" thickBot="1" x14ac:dyDescent="0.25">
      <c r="G55" s="151"/>
      <c r="H55" s="152"/>
      <c r="I55" s="152"/>
      <c r="J55" s="153"/>
    </row>
    <row r="56" spans="1:10" x14ac:dyDescent="0.2">
      <c r="G56" t="s">
        <v>85</v>
      </c>
    </row>
  </sheetData>
  <mergeCells count="3">
    <mergeCell ref="B50:D50"/>
    <mergeCell ref="G51:J51"/>
    <mergeCell ref="G52:J5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54"/>
  <sheetViews>
    <sheetView workbookViewId="0">
      <selection activeCell="H49" sqref="H49"/>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c r="H4" s="6">
        <f>121+3+7.54</f>
        <v>131.54</v>
      </c>
      <c r="I4" s="6"/>
      <c r="J4" s="7">
        <f>+C4+D4+E4+F5+G5+H5+I4</f>
        <v>69716.2</v>
      </c>
      <c r="K4" s="7">
        <f>J4/H2</f>
        <v>131.54</v>
      </c>
      <c r="L4" s="72">
        <f>K4-C8</f>
        <v>1.539999999999992</v>
      </c>
    </row>
    <row r="5" spans="2:12" ht="16" thickBot="1" x14ac:dyDescent="0.25">
      <c r="B5" s="62"/>
      <c r="C5" s="9"/>
      <c r="D5" s="9"/>
      <c r="E5" s="9"/>
      <c r="F5" s="10">
        <f>+F4*F2</f>
        <v>0</v>
      </c>
      <c r="G5" s="10">
        <f>+G4*G2</f>
        <v>0</v>
      </c>
      <c r="H5" s="10">
        <f>+H4*H2</f>
        <v>69716.2</v>
      </c>
      <c r="I5" s="10"/>
      <c r="J5" s="10"/>
      <c r="K5" s="10"/>
    </row>
    <row r="6" spans="2:12" ht="16" thickBot="1" x14ac:dyDescent="0.25"/>
    <row r="7" spans="2:12" ht="16" thickBot="1" x14ac:dyDescent="0.25">
      <c r="B7" s="169" t="s">
        <v>7</v>
      </c>
      <c r="C7" s="170"/>
      <c r="D7" s="25"/>
      <c r="E7" s="25"/>
      <c r="F7" s="25"/>
    </row>
    <row r="8" spans="2:12" x14ac:dyDescent="0.2">
      <c r="B8" s="70" t="s">
        <v>8</v>
      </c>
      <c r="C8" s="6">
        <v>130</v>
      </c>
    </row>
    <row r="9" spans="2:12" x14ac:dyDescent="0.2">
      <c r="B9" s="14" t="s">
        <v>9</v>
      </c>
      <c r="C9" s="15" t="s">
        <v>10</v>
      </c>
      <c r="D9" s="15"/>
      <c r="E9" s="15" t="s">
        <v>3</v>
      </c>
    </row>
    <row r="10" spans="2:12" x14ac:dyDescent="0.2">
      <c r="B10" s="10" t="s">
        <v>11</v>
      </c>
      <c r="C10" s="19">
        <f>+C47</f>
        <v>4000</v>
      </c>
      <c r="D10" s="10"/>
      <c r="E10" s="16">
        <f>+E47</f>
        <v>10.547169811320755</v>
      </c>
    </row>
    <row r="11" spans="2:12" x14ac:dyDescent="0.2">
      <c r="B11" s="10" t="s">
        <v>12</v>
      </c>
      <c r="C11" s="10"/>
      <c r="D11" s="10"/>
      <c r="E11" s="10"/>
    </row>
    <row r="12" spans="2:12" ht="15" customHeight="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v>940</v>
      </c>
      <c r="D16" s="10"/>
      <c r="E16" s="10">
        <f>C16/G2</f>
        <v>1.7735849056603774</v>
      </c>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v>900</v>
      </c>
      <c r="D26" s="10"/>
      <c r="E26" s="16">
        <f>C26/G2</f>
        <v>1.6981132075471699</v>
      </c>
    </row>
    <row r="27" spans="2:6" x14ac:dyDescent="0.2">
      <c r="B27" s="10" t="s">
        <v>28</v>
      </c>
      <c r="C27" s="10"/>
      <c r="D27" s="10"/>
      <c r="E27" s="16"/>
    </row>
    <row r="28" spans="2:6" x14ac:dyDescent="0.2">
      <c r="B28" s="10" t="s">
        <v>58</v>
      </c>
      <c r="C28" s="10">
        <v>1000</v>
      </c>
      <c r="D28" s="10"/>
      <c r="E28" s="16">
        <f>C28/G2</f>
        <v>1.8867924528301887</v>
      </c>
    </row>
    <row r="29" spans="2:6" x14ac:dyDescent="0.2">
      <c r="B29" s="10" t="s">
        <v>30</v>
      </c>
      <c r="C29" s="10"/>
      <c r="D29" s="10"/>
      <c r="E29" s="10"/>
    </row>
    <row r="30" spans="2:6" x14ac:dyDescent="0.2">
      <c r="B30" s="13" t="s">
        <v>31</v>
      </c>
      <c r="C30" s="13"/>
      <c r="D30" s="13">
        <f>SUM(D10:D29)</f>
        <v>0</v>
      </c>
      <c r="E30" s="17">
        <f>SUM(G10:G20)+G24+G25+G26+G27+E28+E29</f>
        <v>1.8867924528301887</v>
      </c>
      <c r="F30" s="64"/>
    </row>
    <row r="33" spans="2:8" x14ac:dyDescent="0.2">
      <c r="B33" s="14" t="s">
        <v>11</v>
      </c>
      <c r="C33" s="15" t="s">
        <v>10</v>
      </c>
      <c r="D33" s="15"/>
      <c r="E33" s="14" t="s">
        <v>3</v>
      </c>
      <c r="F33" s="64"/>
    </row>
    <row r="34" spans="2:8" x14ac:dyDescent="0.2">
      <c r="B34" s="10" t="s">
        <v>32</v>
      </c>
      <c r="C34" s="19">
        <v>2000</v>
      </c>
      <c r="D34" s="19"/>
      <c r="E34" s="44">
        <f>C34/$H$2</f>
        <v>3.7735849056603774</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3</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4000</v>
      </c>
      <c r="D47" s="26"/>
      <c r="E47" s="26">
        <f>SUM(E34:E46)</f>
        <v>10.547169811320755</v>
      </c>
      <c r="F47" s="66"/>
    </row>
    <row r="49" spans="1:10" ht="16" thickBot="1" x14ac:dyDescent="0.25"/>
    <row r="50" spans="1:10" ht="16" thickBot="1" x14ac:dyDescent="0.25">
      <c r="B50" s="141" t="s">
        <v>40</v>
      </c>
      <c r="C50" s="142"/>
      <c r="D50" s="143"/>
      <c r="E50" s="64"/>
      <c r="G50" s="141" t="s">
        <v>45</v>
      </c>
      <c r="H50" s="142"/>
      <c r="I50" s="142"/>
      <c r="J50" s="143"/>
    </row>
    <row r="51" spans="1:10" ht="15" customHeight="1" thickBot="1" x14ac:dyDescent="0.25">
      <c r="B51" s="53" t="s">
        <v>10</v>
      </c>
      <c r="C51" s="54" t="s">
        <v>3</v>
      </c>
      <c r="D51" s="55" t="s">
        <v>2</v>
      </c>
      <c r="F51" s="27"/>
      <c r="G51" s="171" t="s">
        <v>69</v>
      </c>
      <c r="H51" s="167"/>
      <c r="I51" s="167"/>
      <c r="J51" s="172"/>
    </row>
    <row r="52" spans="1:10" x14ac:dyDescent="0.2">
      <c r="A52" s="56" t="s">
        <v>51</v>
      </c>
      <c r="B52" s="35">
        <v>3940</v>
      </c>
      <c r="C52" s="32">
        <f>474+4</f>
        <v>478</v>
      </c>
      <c r="D52" s="33">
        <v>40</v>
      </c>
      <c r="G52" s="173"/>
      <c r="H52" s="168"/>
      <c r="I52" s="168"/>
      <c r="J52" s="174"/>
    </row>
    <row r="53" spans="1:10" ht="16" thickBot="1" x14ac:dyDescent="0.25">
      <c r="A53" s="56" t="s">
        <v>42</v>
      </c>
      <c r="B53" s="41">
        <f>B52-(1000+900)</f>
        <v>2040</v>
      </c>
      <c r="C53" s="42">
        <f>474+4</f>
        <v>478</v>
      </c>
      <c r="D53" s="43">
        <v>40</v>
      </c>
      <c r="G53" s="173"/>
      <c r="H53" s="168"/>
      <c r="I53" s="168"/>
      <c r="J53" s="174"/>
    </row>
    <row r="54" spans="1:10" ht="16" thickBot="1" x14ac:dyDescent="0.25">
      <c r="G54" s="175"/>
      <c r="H54" s="176"/>
      <c r="I54" s="176"/>
      <c r="J54" s="177"/>
    </row>
  </sheetData>
  <mergeCells count="6">
    <mergeCell ref="B7:C7"/>
    <mergeCell ref="G51:J54"/>
    <mergeCell ref="B50:D50"/>
    <mergeCell ref="G50:J50"/>
    <mergeCell ref="H12:J12"/>
    <mergeCell ref="H14:J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L54"/>
  <sheetViews>
    <sheetView workbookViewId="0">
      <selection activeCell="E43" sqref="E43"/>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c r="H4" s="6">
        <f>110+3</f>
        <v>113</v>
      </c>
      <c r="I4" s="6">
        <f>13550+4000</f>
        <v>17550</v>
      </c>
      <c r="J4" s="7">
        <f>+C4+D4+E4+F5+G5+H5+I4</f>
        <v>77440</v>
      </c>
      <c r="K4" s="7">
        <f>J4/H2</f>
        <v>146.11320754716982</v>
      </c>
      <c r="L4" s="72">
        <f>K4-C8</f>
        <v>-1.8867924528301785</v>
      </c>
    </row>
    <row r="5" spans="2:12" ht="16" thickBot="1" x14ac:dyDescent="0.25">
      <c r="B5" s="62"/>
      <c r="C5" s="9"/>
      <c r="D5" s="9"/>
      <c r="E5" s="9"/>
      <c r="F5" s="10">
        <f>+F4*F2</f>
        <v>0</v>
      </c>
      <c r="G5" s="10">
        <f>+G4*G2</f>
        <v>0</v>
      </c>
      <c r="H5" s="10">
        <f>+H4*H2</f>
        <v>59890</v>
      </c>
      <c r="I5" s="10"/>
      <c r="J5" s="10"/>
      <c r="K5" s="10"/>
    </row>
    <row r="6" spans="2:12" ht="16" thickBot="1" x14ac:dyDescent="0.25"/>
    <row r="7" spans="2:12" ht="16" thickBot="1" x14ac:dyDescent="0.25">
      <c r="B7" s="169" t="s">
        <v>7</v>
      </c>
      <c r="C7" s="170"/>
      <c r="D7" s="25"/>
      <c r="E7" s="25"/>
      <c r="F7" s="25"/>
    </row>
    <row r="8" spans="2:12" x14ac:dyDescent="0.2">
      <c r="B8" s="70" t="s">
        <v>8</v>
      </c>
      <c r="C8" s="6">
        <v>148</v>
      </c>
    </row>
    <row r="9" spans="2:12" x14ac:dyDescent="0.2">
      <c r="B9" s="14" t="s">
        <v>9</v>
      </c>
      <c r="C9" s="15" t="s">
        <v>10</v>
      </c>
      <c r="D9" s="15"/>
      <c r="E9" s="15" t="s">
        <v>3</v>
      </c>
    </row>
    <row r="10" spans="2:12" x14ac:dyDescent="0.2">
      <c r="B10" s="10" t="s">
        <v>11</v>
      </c>
      <c r="C10" s="19">
        <f>+C47</f>
        <v>4000</v>
      </c>
      <c r="D10" s="10"/>
      <c r="E10" s="16">
        <f>+E47</f>
        <v>10.547169811320755</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v>2000</v>
      </c>
      <c r="D34" s="19"/>
      <c r="E34" s="44">
        <f>C34/$H$2</f>
        <v>3.7735849056603774</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3</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4000</v>
      </c>
      <c r="D47" s="26"/>
      <c r="E47" s="26">
        <f>SUM(E34:E46)</f>
        <v>10.547169811320755</v>
      </c>
      <c r="F47" s="66"/>
    </row>
    <row r="49" spans="2:10" ht="16" thickBot="1" x14ac:dyDescent="0.25"/>
    <row r="50" spans="2:10" ht="16" thickBot="1" x14ac:dyDescent="0.25">
      <c r="B50" s="141" t="s">
        <v>40</v>
      </c>
      <c r="C50" s="142"/>
      <c r="D50" s="143"/>
      <c r="E50" s="64"/>
      <c r="G50" s="141" t="s">
        <v>45</v>
      </c>
      <c r="H50" s="142"/>
      <c r="I50" s="142"/>
      <c r="J50" s="143"/>
    </row>
    <row r="51" spans="2:10" ht="16" thickBot="1" x14ac:dyDescent="0.25">
      <c r="B51" s="53" t="s">
        <v>10</v>
      </c>
      <c r="C51" s="54" t="s">
        <v>3</v>
      </c>
      <c r="D51" s="55" t="s">
        <v>2</v>
      </c>
      <c r="F51" s="27"/>
      <c r="G51" s="145" t="s">
        <v>75</v>
      </c>
      <c r="H51" s="146"/>
      <c r="I51" s="146"/>
      <c r="J51" s="147"/>
    </row>
    <row r="52" spans="2:10" ht="16" thickBot="1" x14ac:dyDescent="0.25">
      <c r="B52" s="35">
        <v>12300</v>
      </c>
      <c r="C52" s="42">
        <f>474+4</f>
        <v>478</v>
      </c>
      <c r="D52" s="43">
        <v>40</v>
      </c>
      <c r="G52" s="148"/>
      <c r="H52" s="149"/>
      <c r="I52" s="149"/>
      <c r="J52" s="150"/>
    </row>
    <row r="53" spans="2:10" ht="16" thickBot="1" x14ac:dyDescent="0.25">
      <c r="B53" s="41">
        <f>B52</f>
        <v>12300</v>
      </c>
      <c r="C53" s="42">
        <f>C52+3</f>
        <v>481</v>
      </c>
      <c r="D53" s="43">
        <f>D52</f>
        <v>40</v>
      </c>
      <c r="G53" s="148"/>
      <c r="H53" s="149"/>
      <c r="I53" s="149"/>
      <c r="J53" s="150"/>
    </row>
    <row r="54" spans="2: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L54"/>
  <sheetViews>
    <sheetView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c r="H4" s="6">
        <f>83+3</f>
        <v>86</v>
      </c>
      <c r="I4" s="6">
        <f>31127+2000</f>
        <v>33127</v>
      </c>
      <c r="J4" s="7">
        <f>C4+D4+E4+F5+G5+H5+I4</f>
        <v>78707</v>
      </c>
      <c r="K4" s="7">
        <f>J4/H2</f>
        <v>148.50377358490567</v>
      </c>
      <c r="L4" s="72">
        <f>K4-C8</f>
        <v>3.7735849056730331E-3</v>
      </c>
    </row>
    <row r="5" spans="2:12" ht="16" thickBot="1" x14ac:dyDescent="0.25">
      <c r="B5" s="62"/>
      <c r="C5" s="9"/>
      <c r="D5" s="9"/>
      <c r="E5" s="9"/>
      <c r="F5" s="10">
        <f>+F4*F2</f>
        <v>0</v>
      </c>
      <c r="G5" s="10">
        <f>+G4*G2</f>
        <v>0</v>
      </c>
      <c r="H5" s="10">
        <f>+H4*H2</f>
        <v>45580</v>
      </c>
      <c r="I5" s="10" t="s">
        <v>76</v>
      </c>
      <c r="J5" s="10"/>
      <c r="K5" s="10"/>
    </row>
    <row r="6" spans="2:12" ht="16" thickBot="1" x14ac:dyDescent="0.25"/>
    <row r="7" spans="2:12" ht="16" thickBot="1" x14ac:dyDescent="0.25">
      <c r="B7" s="169" t="s">
        <v>7</v>
      </c>
      <c r="C7" s="170"/>
      <c r="D7" s="25"/>
      <c r="E7" s="25"/>
      <c r="F7" s="25"/>
    </row>
    <row r="8" spans="2:12" x14ac:dyDescent="0.2">
      <c r="B8" s="70" t="s">
        <v>8</v>
      </c>
      <c r="C8" s="6">
        <v>148.5</v>
      </c>
    </row>
    <row r="9" spans="2:12" x14ac:dyDescent="0.2">
      <c r="B9" s="14" t="s">
        <v>9</v>
      </c>
      <c r="C9" s="15"/>
      <c r="D9" s="15"/>
      <c r="E9" s="15" t="s">
        <v>3</v>
      </c>
    </row>
    <row r="10" spans="2:12" x14ac:dyDescent="0.2">
      <c r="B10" s="10" t="s">
        <v>11</v>
      </c>
      <c r="C10" s="19">
        <f>+C47</f>
        <v>2000</v>
      </c>
      <c r="D10" s="10"/>
      <c r="E10" s="16">
        <f>+E47</f>
        <v>6.7735849056603774</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c r="D34" s="19"/>
      <c r="E34" s="44">
        <f>C34/$H$2</f>
        <v>0</v>
      </c>
      <c r="F34" s="65"/>
      <c r="H34" s="65"/>
    </row>
    <row r="35" spans="2:8" x14ac:dyDescent="0.2">
      <c r="B35" s="10" t="s">
        <v>33</v>
      </c>
      <c r="C35" s="19">
        <v>2000</v>
      </c>
      <c r="D35" s="19"/>
      <c r="E35" s="44">
        <f>C35/$H$2</f>
        <v>3.7735849056603774</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c r="D38" s="19"/>
      <c r="E38" s="44">
        <f>C38/$H$2</f>
        <v>0</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3</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2000</v>
      </c>
      <c r="D47" s="26"/>
      <c r="E47" s="26">
        <f>SUM(E34:E46)</f>
        <v>6.7735849056603774</v>
      </c>
      <c r="F47" s="66"/>
    </row>
    <row r="49" spans="2:10" ht="16" thickBot="1" x14ac:dyDescent="0.25"/>
    <row r="50" spans="2:10" ht="16" thickBot="1" x14ac:dyDescent="0.25">
      <c r="B50" s="141" t="s">
        <v>40</v>
      </c>
      <c r="C50" s="142"/>
      <c r="D50" s="143"/>
      <c r="E50" s="64"/>
      <c r="G50" s="141" t="s">
        <v>45</v>
      </c>
      <c r="H50" s="142"/>
      <c r="I50" s="142"/>
      <c r="J50" s="143"/>
    </row>
    <row r="51" spans="2:10" x14ac:dyDescent="0.2">
      <c r="B51" s="53" t="s">
        <v>10</v>
      </c>
      <c r="C51" s="54" t="s">
        <v>3</v>
      </c>
      <c r="D51" s="55" t="s">
        <v>2</v>
      </c>
      <c r="F51" s="27"/>
      <c r="G51" s="145" t="s">
        <v>77</v>
      </c>
      <c r="H51" s="146"/>
      <c r="I51" s="146"/>
      <c r="J51" s="147"/>
    </row>
    <row r="52" spans="2:10" ht="16" thickBot="1" x14ac:dyDescent="0.25">
      <c r="B52" s="41">
        <v>12300</v>
      </c>
      <c r="C52" s="42">
        <v>481</v>
      </c>
      <c r="D52" s="43">
        <v>40</v>
      </c>
      <c r="G52" s="148"/>
      <c r="H52" s="149"/>
      <c r="I52" s="149"/>
      <c r="J52" s="150"/>
    </row>
    <row r="53" spans="2:10" ht="16" thickBot="1" x14ac:dyDescent="0.25">
      <c r="B53" s="41">
        <f>B52</f>
        <v>12300</v>
      </c>
      <c r="C53" s="42">
        <f>C52</f>
        <v>481</v>
      </c>
      <c r="D53" s="43">
        <f>D52</f>
        <v>40</v>
      </c>
      <c r="G53" s="148"/>
      <c r="H53" s="149"/>
      <c r="I53" s="149"/>
      <c r="J53" s="150"/>
    </row>
    <row r="54" spans="2: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L54"/>
  <sheetViews>
    <sheetView topLeftCell="A7" workbookViewId="0">
      <selection activeCell="C39" sqref="C39"/>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v>200</v>
      </c>
      <c r="H4" s="6">
        <f>77+13</f>
        <v>90</v>
      </c>
      <c r="I4" s="6">
        <f>182800+2000</f>
        <v>184800</v>
      </c>
      <c r="J4" s="7">
        <f>C4+D4+E4+F5+G5+H5+I4</f>
        <v>338500</v>
      </c>
      <c r="K4" s="7">
        <f>J4/H2</f>
        <v>638.67924528301887</v>
      </c>
      <c r="L4" s="72">
        <f>K4-C8</f>
        <v>0.67924528301887221</v>
      </c>
    </row>
    <row r="5" spans="2:12" ht="16" thickBot="1" x14ac:dyDescent="0.25">
      <c r="B5" s="62"/>
      <c r="C5" s="9"/>
      <c r="D5" s="9"/>
      <c r="E5" s="9"/>
      <c r="F5" s="10">
        <f>+F4*F2</f>
        <v>0</v>
      </c>
      <c r="G5" s="10">
        <f>+G4*G2</f>
        <v>106000</v>
      </c>
      <c r="H5" s="10">
        <f>+H4*H2</f>
        <v>47700</v>
      </c>
      <c r="I5" s="10"/>
      <c r="J5" s="10"/>
      <c r="K5" s="10"/>
    </row>
    <row r="6" spans="2:12" ht="16" thickBot="1" x14ac:dyDescent="0.25"/>
    <row r="7" spans="2:12" ht="16" thickBot="1" x14ac:dyDescent="0.25">
      <c r="B7" s="169" t="s">
        <v>7</v>
      </c>
      <c r="C7" s="170"/>
      <c r="D7" s="25"/>
      <c r="E7" s="25"/>
      <c r="F7" s="25"/>
    </row>
    <row r="8" spans="2:12" x14ac:dyDescent="0.2">
      <c r="B8" s="70" t="s">
        <v>8</v>
      </c>
      <c r="C8" s="6">
        <v>638</v>
      </c>
    </row>
    <row r="9" spans="2:12" x14ac:dyDescent="0.2">
      <c r="B9" s="14" t="s">
        <v>9</v>
      </c>
      <c r="C9" s="15"/>
      <c r="D9" s="15"/>
      <c r="E9" s="15" t="s">
        <v>3</v>
      </c>
    </row>
    <row r="10" spans="2:12" x14ac:dyDescent="0.2">
      <c r="B10" s="10" t="s">
        <v>11</v>
      </c>
      <c r="C10" s="19">
        <f>+C47</f>
        <v>2000</v>
      </c>
      <c r="D10" s="10"/>
      <c r="E10" s="16">
        <f>+E47</f>
        <v>16.773584905660378</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c r="D34" s="19"/>
      <c r="E34" s="44">
        <f>C34/$H$2</f>
        <v>0</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13</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2000</v>
      </c>
      <c r="D47" s="26"/>
      <c r="E47" s="26">
        <f>SUM(E34:E46)</f>
        <v>16.773584905660378</v>
      </c>
      <c r="F47" s="66"/>
    </row>
    <row r="49" spans="2:10" ht="16" thickBot="1" x14ac:dyDescent="0.25"/>
    <row r="50" spans="2:10" ht="16" thickBot="1" x14ac:dyDescent="0.25">
      <c r="B50" s="141" t="s">
        <v>40</v>
      </c>
      <c r="C50" s="142"/>
      <c r="D50" s="143"/>
      <c r="E50" s="64"/>
      <c r="G50" s="141" t="s">
        <v>45</v>
      </c>
      <c r="H50" s="142"/>
      <c r="I50" s="142"/>
      <c r="J50" s="143"/>
    </row>
    <row r="51" spans="2:10" x14ac:dyDescent="0.2">
      <c r="B51" s="53" t="s">
        <v>10</v>
      </c>
      <c r="C51" s="54" t="s">
        <v>3</v>
      </c>
      <c r="D51" s="55" t="s">
        <v>2</v>
      </c>
      <c r="F51" s="27"/>
      <c r="G51" s="145" t="s">
        <v>78</v>
      </c>
      <c r="H51" s="146"/>
      <c r="I51" s="146"/>
      <c r="J51" s="147"/>
    </row>
    <row r="52" spans="2:10" ht="16" thickBot="1" x14ac:dyDescent="0.25">
      <c r="B52" s="41">
        <v>12300</v>
      </c>
      <c r="C52" s="42">
        <v>481</v>
      </c>
      <c r="D52" s="43">
        <v>40</v>
      </c>
      <c r="G52" s="148"/>
      <c r="H52" s="149"/>
      <c r="I52" s="149"/>
      <c r="J52" s="150"/>
    </row>
    <row r="53" spans="2:10" ht="16" thickBot="1" x14ac:dyDescent="0.25">
      <c r="B53" s="41">
        <f>B52</f>
        <v>12300</v>
      </c>
      <c r="C53" s="42">
        <v>481</v>
      </c>
      <c r="D53" s="43">
        <v>40</v>
      </c>
      <c r="G53" s="148"/>
      <c r="H53" s="149"/>
      <c r="I53" s="149"/>
      <c r="J53" s="150"/>
    </row>
    <row r="54" spans="2: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54"/>
  <sheetViews>
    <sheetView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c r="H4" s="6">
        <f>25</f>
        <v>25</v>
      </c>
      <c r="I4" s="6"/>
      <c r="J4" s="7">
        <f>C4+D4+E4+F5+G5+H5+I4</f>
        <v>13250</v>
      </c>
      <c r="K4" s="7">
        <f>J4/H2</f>
        <v>25</v>
      </c>
      <c r="L4" s="72">
        <f>K4-C8</f>
        <v>0</v>
      </c>
    </row>
    <row r="5" spans="2:12" ht="16" thickBot="1" x14ac:dyDescent="0.25">
      <c r="B5" s="62"/>
      <c r="C5" s="9"/>
      <c r="D5" s="9"/>
      <c r="E5" s="9"/>
      <c r="F5" s="10">
        <f>+F4*F2</f>
        <v>0</v>
      </c>
      <c r="G5" s="10">
        <f>+G4*G2</f>
        <v>0</v>
      </c>
      <c r="H5" s="10">
        <f>+H4*H2</f>
        <v>13250</v>
      </c>
      <c r="I5" s="10"/>
      <c r="J5" s="10"/>
      <c r="K5" s="10"/>
    </row>
    <row r="6" spans="2:12" ht="16" thickBot="1" x14ac:dyDescent="0.25"/>
    <row r="7" spans="2:12" ht="16" thickBot="1" x14ac:dyDescent="0.25">
      <c r="B7" s="169" t="s">
        <v>7</v>
      </c>
      <c r="C7" s="170"/>
      <c r="D7" s="25"/>
      <c r="E7" s="25"/>
      <c r="F7" s="25"/>
    </row>
    <row r="8" spans="2:12" x14ac:dyDescent="0.2">
      <c r="B8" s="70" t="s">
        <v>8</v>
      </c>
      <c r="C8" s="6">
        <v>25</v>
      </c>
    </row>
    <row r="9" spans="2:12" x14ac:dyDescent="0.2">
      <c r="B9" s="14" t="s">
        <v>9</v>
      </c>
      <c r="C9" s="15"/>
      <c r="D9" s="15"/>
      <c r="E9" s="15" t="s">
        <v>3</v>
      </c>
    </row>
    <row r="10" spans="2:12" x14ac:dyDescent="0.2">
      <c r="B10" s="10" t="s">
        <v>11</v>
      </c>
      <c r="C10" s="19">
        <f>+C47</f>
        <v>4000</v>
      </c>
      <c r="D10" s="10"/>
      <c r="E10" s="16">
        <f>+E47</f>
        <v>8.5471698113207548</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c r="D34" s="19"/>
      <c r="E34" s="44">
        <f>C34/$H$2</f>
        <v>0</v>
      </c>
      <c r="F34" s="65"/>
      <c r="H34" s="65"/>
    </row>
    <row r="35" spans="2:8" x14ac:dyDescent="0.2">
      <c r="B35" s="10" t="s">
        <v>33</v>
      </c>
      <c r="C35" s="19">
        <v>2000</v>
      </c>
      <c r="D35" s="19"/>
      <c r="E35" s="44">
        <f>C35/$H$2</f>
        <v>3.7735849056603774</v>
      </c>
      <c r="F35" s="65"/>
    </row>
    <row r="36" spans="2:8" x14ac:dyDescent="0.2">
      <c r="B36" s="10" t="s">
        <v>34</v>
      </c>
      <c r="C36" s="19"/>
      <c r="D36" s="19"/>
      <c r="E36" s="44">
        <f>C36/$H$2</f>
        <v>0</v>
      </c>
      <c r="F36" s="65"/>
      <c r="H36">
        <f>478-14</f>
        <v>464</v>
      </c>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1</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4000</v>
      </c>
      <c r="D47" s="26"/>
      <c r="E47" s="26">
        <f>SUM(E34:E46)</f>
        <v>8.5471698113207548</v>
      </c>
      <c r="F47" s="66"/>
    </row>
    <row r="49" spans="1:10" ht="16" thickBot="1" x14ac:dyDescent="0.25"/>
    <row r="50" spans="1:10" ht="16" thickBot="1" x14ac:dyDescent="0.25">
      <c r="B50" s="141" t="s">
        <v>40</v>
      </c>
      <c r="C50" s="142"/>
      <c r="D50" s="143"/>
      <c r="E50" s="64"/>
      <c r="G50" s="141" t="s">
        <v>45</v>
      </c>
      <c r="H50" s="142"/>
      <c r="I50" s="142"/>
      <c r="J50" s="143"/>
    </row>
    <row r="51" spans="1:10" x14ac:dyDescent="0.2">
      <c r="B51" s="53" t="s">
        <v>10</v>
      </c>
      <c r="C51" s="54" t="s">
        <v>3</v>
      </c>
      <c r="D51" s="55" t="s">
        <v>2</v>
      </c>
      <c r="F51" s="27"/>
      <c r="G51" s="145" t="s">
        <v>79</v>
      </c>
      <c r="H51" s="146"/>
      <c r="I51" s="146"/>
      <c r="J51" s="147"/>
    </row>
    <row r="52" spans="1:10" ht="16" thickBot="1" x14ac:dyDescent="0.25">
      <c r="A52" s="85" t="s">
        <v>80</v>
      </c>
      <c r="B52" s="84">
        <v>12300</v>
      </c>
      <c r="C52" s="42">
        <v>478</v>
      </c>
      <c r="D52" s="43">
        <v>40</v>
      </c>
      <c r="G52" s="148"/>
      <c r="H52" s="149"/>
      <c r="I52" s="149"/>
      <c r="J52" s="150"/>
    </row>
    <row r="53" spans="1:10" ht="16" thickBot="1" x14ac:dyDescent="0.25">
      <c r="A53" s="85" t="s">
        <v>47</v>
      </c>
      <c r="B53" s="84">
        <f>B52-4000</f>
        <v>8300</v>
      </c>
      <c r="C53" s="42">
        <f>C52-1</f>
        <v>477</v>
      </c>
      <c r="D53" s="43">
        <v>40</v>
      </c>
      <c r="G53" s="148"/>
      <c r="H53" s="149"/>
      <c r="I53" s="149"/>
      <c r="J53" s="150"/>
    </row>
    <row r="54" spans="1: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00000"/>
  </sheetPr>
  <dimension ref="B1:L54"/>
  <sheetViews>
    <sheetView workbookViewId="0">
      <selection activeCell="E39" sqref="E39"/>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s="6"/>
      <c r="H4" s="6">
        <f>502+14+22+136</f>
        <v>674</v>
      </c>
      <c r="I4" s="6">
        <v>540</v>
      </c>
      <c r="J4" s="7">
        <f>C4+D4+E4+F5+G5+H5+I4</f>
        <v>357760</v>
      </c>
      <c r="K4" s="7">
        <f>J4/H2</f>
        <v>675.01886792452831</v>
      </c>
      <c r="L4" s="72">
        <f>K4-C8</f>
        <v>2.0188679245283083</v>
      </c>
    </row>
    <row r="5" spans="2:12" ht="16" thickBot="1" x14ac:dyDescent="0.25">
      <c r="B5" s="62"/>
      <c r="C5" s="9"/>
      <c r="D5" s="9"/>
      <c r="E5" s="9"/>
      <c r="F5" s="10">
        <f>+F4*F2</f>
        <v>0</v>
      </c>
      <c r="G5" s="10">
        <f>+G4*G2</f>
        <v>0</v>
      </c>
      <c r="H5" s="10">
        <f>+H4*H2</f>
        <v>357220</v>
      </c>
      <c r="I5" s="10"/>
      <c r="J5" s="10"/>
      <c r="K5" s="10"/>
    </row>
    <row r="6" spans="2:12" ht="16" thickBot="1" x14ac:dyDescent="0.25"/>
    <row r="7" spans="2:12" ht="16" thickBot="1" x14ac:dyDescent="0.25">
      <c r="B7" s="169" t="s">
        <v>7</v>
      </c>
      <c r="C7" s="170"/>
      <c r="D7" s="25"/>
      <c r="E7" s="25"/>
      <c r="F7" s="25"/>
    </row>
    <row r="8" spans="2:12" x14ac:dyDescent="0.2">
      <c r="B8" s="70" t="s">
        <v>8</v>
      </c>
      <c r="C8" s="6">
        <v>673</v>
      </c>
    </row>
    <row r="9" spans="2:12" x14ac:dyDescent="0.2">
      <c r="B9" s="14" t="s">
        <v>9</v>
      </c>
      <c r="C9" s="15"/>
      <c r="D9" s="15"/>
      <c r="E9" s="15" t="s">
        <v>3</v>
      </c>
    </row>
    <row r="10" spans="2:12" x14ac:dyDescent="0.2">
      <c r="B10" s="10" t="s">
        <v>11</v>
      </c>
      <c r="C10" s="19">
        <f>+C47</f>
        <v>2000</v>
      </c>
      <c r="D10" s="10"/>
      <c r="E10" s="16">
        <f>+E47</f>
        <v>39.773584905660378</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82</v>
      </c>
      <c r="C29" s="10"/>
      <c r="D29" s="10"/>
      <c r="E29" s="10">
        <v>136</v>
      </c>
    </row>
    <row r="30" spans="2:6" x14ac:dyDescent="0.2">
      <c r="B30" s="13" t="s">
        <v>31</v>
      </c>
      <c r="C30" s="13"/>
      <c r="D30" s="13">
        <f>SUM(D10:D29)</f>
        <v>0</v>
      </c>
      <c r="E30" s="17">
        <f>SUM(G10:G20)+G24+G25+G26+G27+E28+E29</f>
        <v>136</v>
      </c>
      <c r="F30" s="64"/>
    </row>
    <row r="33" spans="2:8" x14ac:dyDescent="0.2">
      <c r="B33" s="14" t="s">
        <v>11</v>
      </c>
      <c r="C33" s="15" t="s">
        <v>10</v>
      </c>
      <c r="D33" s="15"/>
      <c r="E33" s="14" t="s">
        <v>3</v>
      </c>
      <c r="F33" s="64"/>
    </row>
    <row r="34" spans="2:8" x14ac:dyDescent="0.2">
      <c r="B34" s="10" t="s">
        <v>32</v>
      </c>
      <c r="C34" s="19">
        <v>2000</v>
      </c>
      <c r="D34" s="19"/>
      <c r="E34" s="44">
        <f>C34/$H$2</f>
        <v>3.7735849056603774</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c r="D38" s="19"/>
      <c r="E38" s="44">
        <f>C38/$H$2</f>
        <v>0</v>
      </c>
      <c r="F38" s="65"/>
    </row>
    <row r="39" spans="2:8" x14ac:dyDescent="0.2">
      <c r="B39" s="68" t="s">
        <v>37</v>
      </c>
      <c r="C39" s="19"/>
      <c r="D39" s="19"/>
      <c r="E39" s="44">
        <v>22</v>
      </c>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14</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2000</v>
      </c>
      <c r="D47" s="26"/>
      <c r="E47" s="26">
        <f>SUM(E34:E46)</f>
        <v>39.773584905660378</v>
      </c>
      <c r="F47" s="66"/>
    </row>
    <row r="49" spans="2:10" ht="16" thickBot="1" x14ac:dyDescent="0.25"/>
    <row r="50" spans="2:10" ht="16" thickBot="1" x14ac:dyDescent="0.25">
      <c r="B50" s="141" t="s">
        <v>40</v>
      </c>
      <c r="C50" s="142"/>
      <c r="D50" s="143"/>
      <c r="E50" s="64"/>
      <c r="G50" s="141" t="s">
        <v>45</v>
      </c>
      <c r="H50" s="142"/>
      <c r="I50" s="142"/>
      <c r="J50" s="143"/>
    </row>
    <row r="51" spans="2:10" ht="16" thickBot="1" x14ac:dyDescent="0.25">
      <c r="B51" s="53" t="s">
        <v>10</v>
      </c>
      <c r="C51" s="54" t="s">
        <v>3</v>
      </c>
      <c r="D51" s="55" t="s">
        <v>2</v>
      </c>
      <c r="F51" s="27"/>
      <c r="G51" s="145" t="s">
        <v>87</v>
      </c>
      <c r="H51" s="146"/>
      <c r="I51" s="146"/>
      <c r="J51" s="147"/>
    </row>
    <row r="52" spans="2:10" ht="16" thickBot="1" x14ac:dyDescent="0.25">
      <c r="B52" s="35">
        <v>8300</v>
      </c>
      <c r="C52" s="42" t="s">
        <v>81</v>
      </c>
      <c r="D52" s="43">
        <v>65</v>
      </c>
      <c r="G52" s="148"/>
      <c r="H52" s="149"/>
      <c r="I52" s="149"/>
      <c r="J52" s="150"/>
    </row>
    <row r="53" spans="2:10" ht="16" thickBot="1" x14ac:dyDescent="0.25">
      <c r="B53" s="41">
        <f>B52-2000</f>
        <v>6300</v>
      </c>
      <c r="C53" s="42" t="s">
        <v>81</v>
      </c>
      <c r="D53" s="43">
        <v>65</v>
      </c>
      <c r="G53" s="148"/>
      <c r="H53" s="149"/>
      <c r="I53" s="149"/>
      <c r="J53" s="150"/>
    </row>
    <row r="54" spans="2: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L54"/>
  <sheetViews>
    <sheetView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 t="s">
        <v>0</v>
      </c>
      <c r="C3" s="61">
        <v>2236</v>
      </c>
      <c r="D3" s="61">
        <v>4910</v>
      </c>
      <c r="E3" s="61">
        <v>4660</v>
      </c>
      <c r="F3" s="2" t="s">
        <v>1</v>
      </c>
      <c r="G3" s="23" t="s">
        <v>2</v>
      </c>
      <c r="H3" s="24" t="s">
        <v>3</v>
      </c>
      <c r="I3" s="23" t="s">
        <v>4</v>
      </c>
      <c r="J3" s="2" t="s">
        <v>5</v>
      </c>
      <c r="K3" s="2" t="s">
        <v>6</v>
      </c>
      <c r="L3" s="2" t="s">
        <v>68</v>
      </c>
    </row>
    <row r="4" spans="2:12" ht="16" thickBot="1" x14ac:dyDescent="0.25">
      <c r="B4" s="63"/>
      <c r="C4" s="5"/>
      <c r="D4" s="5"/>
      <c r="E4" s="5"/>
      <c r="F4" s="6">
        <v>0</v>
      </c>
      <c r="G4">
        <v>100</v>
      </c>
      <c r="H4" s="6">
        <f>568+14</f>
        <v>582</v>
      </c>
      <c r="I4" s="6">
        <f>13000+4000</f>
        <v>17000</v>
      </c>
      <c r="J4" s="86">
        <f>C4+D4+E4+F5+G5+H5+I4</f>
        <v>378460</v>
      </c>
      <c r="K4" s="7">
        <f>J4/H2</f>
        <v>714.07547169811323</v>
      </c>
      <c r="L4" s="72">
        <f>K4-C8</f>
        <v>7.5471698113233288E-2</v>
      </c>
    </row>
    <row r="5" spans="2:12" ht="16" thickBot="1" x14ac:dyDescent="0.25">
      <c r="B5" s="62"/>
      <c r="C5" s="9"/>
      <c r="D5" s="9"/>
      <c r="E5" s="9"/>
      <c r="F5" s="10">
        <f>+F4*F2</f>
        <v>0</v>
      </c>
      <c r="G5" s="10">
        <f>+G4*G2</f>
        <v>53000</v>
      </c>
      <c r="H5" s="10">
        <f>+H4*H2</f>
        <v>308460</v>
      </c>
      <c r="I5" s="10"/>
      <c r="J5" s="10"/>
      <c r="K5" s="10"/>
    </row>
    <row r="6" spans="2:12" ht="16" thickBot="1" x14ac:dyDescent="0.25"/>
    <row r="7" spans="2:12" ht="16" thickBot="1" x14ac:dyDescent="0.25">
      <c r="B7" s="169" t="s">
        <v>7</v>
      </c>
      <c r="C7" s="170"/>
      <c r="D7" s="25"/>
      <c r="E7" s="25"/>
      <c r="F7" s="25"/>
    </row>
    <row r="8" spans="2:12" x14ac:dyDescent="0.2">
      <c r="B8" s="70" t="s">
        <v>8</v>
      </c>
      <c r="C8" s="6">
        <v>714</v>
      </c>
      <c r="J8" s="57"/>
    </row>
    <row r="9" spans="2:12" x14ac:dyDescent="0.2">
      <c r="B9" s="14" t="s">
        <v>9</v>
      </c>
      <c r="C9" s="15"/>
      <c r="D9" s="15"/>
      <c r="E9" s="15" t="s">
        <v>3</v>
      </c>
    </row>
    <row r="10" spans="2:12" x14ac:dyDescent="0.2">
      <c r="B10" s="10" t="s">
        <v>11</v>
      </c>
      <c r="C10" s="19">
        <f>+C47</f>
        <v>4000</v>
      </c>
      <c r="D10" s="10"/>
      <c r="E10" s="16">
        <f>+E47</f>
        <v>22.547169811320757</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v>2000</v>
      </c>
      <c r="D34" s="19"/>
      <c r="E34" s="44">
        <f>C34/$H$2</f>
        <v>3.7735849056603774</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15</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4000</v>
      </c>
      <c r="D47" s="26"/>
      <c r="E47" s="26">
        <f>SUM(E34:E46)</f>
        <v>22.547169811320757</v>
      </c>
      <c r="F47" s="66"/>
    </row>
    <row r="49" spans="2:10" ht="16" thickBot="1" x14ac:dyDescent="0.25"/>
    <row r="50" spans="2:10" ht="16" thickBot="1" x14ac:dyDescent="0.25">
      <c r="B50" s="141" t="s">
        <v>40</v>
      </c>
      <c r="C50" s="142"/>
      <c r="D50" s="143"/>
      <c r="E50" s="64"/>
      <c r="G50" s="141" t="s">
        <v>45</v>
      </c>
      <c r="H50" s="142"/>
      <c r="I50" s="142"/>
      <c r="J50" s="143"/>
    </row>
    <row r="51" spans="2:10" ht="16" thickBot="1" x14ac:dyDescent="0.25">
      <c r="B51" s="53" t="s">
        <v>10</v>
      </c>
      <c r="C51" s="54" t="s">
        <v>3</v>
      </c>
      <c r="D51" s="55" t="s">
        <v>2</v>
      </c>
      <c r="F51" s="27"/>
      <c r="G51" s="145" t="s">
        <v>86</v>
      </c>
      <c r="H51" s="146"/>
      <c r="I51" s="146"/>
      <c r="J51" s="147"/>
    </row>
    <row r="52" spans="2:10" ht="16" thickBot="1" x14ac:dyDescent="0.25">
      <c r="B52" s="35">
        <v>6300</v>
      </c>
      <c r="C52" s="42">
        <v>454</v>
      </c>
      <c r="D52" s="43">
        <v>65</v>
      </c>
      <c r="G52" s="148"/>
      <c r="H52" s="149"/>
      <c r="I52" s="149"/>
      <c r="J52" s="150"/>
    </row>
    <row r="53" spans="2:10" ht="16" thickBot="1" x14ac:dyDescent="0.25">
      <c r="B53" s="35">
        <v>6300</v>
      </c>
      <c r="C53" s="42">
        <v>454</v>
      </c>
      <c r="D53" s="43">
        <v>65</v>
      </c>
      <c r="G53" s="148"/>
      <c r="H53" s="149"/>
      <c r="I53" s="149"/>
      <c r="J53" s="150"/>
    </row>
    <row r="54" spans="2:10" ht="16" thickBot="1" x14ac:dyDescent="0.25">
      <c r="G54" s="151"/>
      <c r="H54" s="152"/>
      <c r="I54" s="152"/>
      <c r="J54" s="153"/>
    </row>
  </sheetData>
  <mergeCells count="6">
    <mergeCell ref="G51:J54"/>
    <mergeCell ref="B7:C7"/>
    <mergeCell ref="H12:J12"/>
    <mergeCell ref="H14:J14"/>
    <mergeCell ref="B50:D50"/>
    <mergeCell ref="G50:J5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L54"/>
  <sheetViews>
    <sheetView workbookViewId="0">
      <selection activeCell="A40" sqref="A40:XFD40"/>
    </sheetView>
  </sheetViews>
  <sheetFormatPr baseColWidth="10" defaultColWidth="11.5" defaultRowHeight="15" x14ac:dyDescent="0.2"/>
  <cols>
    <col min="2" max="2" width="27.33203125" bestFit="1" customWidth="1"/>
    <col min="7" max="7" width="21.33203125" bestFit="1" customWidth="1"/>
  </cols>
  <sheetData>
    <row r="1" spans="2:12" ht="16" thickBot="1" x14ac:dyDescent="0.25"/>
    <row r="2" spans="2:12" ht="16" thickBot="1" x14ac:dyDescent="0.25">
      <c r="C2" s="93"/>
      <c r="D2" s="93"/>
      <c r="E2" s="93"/>
      <c r="F2" s="94"/>
      <c r="G2">
        <v>530</v>
      </c>
      <c r="H2">
        <v>530</v>
      </c>
      <c r="I2">
        <v>530</v>
      </c>
    </row>
    <row r="3" spans="2:12" ht="16" thickBot="1" x14ac:dyDescent="0.25">
      <c r="B3" s="121" t="s">
        <v>0</v>
      </c>
      <c r="C3" s="61">
        <v>2236</v>
      </c>
      <c r="D3" s="61">
        <v>4910</v>
      </c>
      <c r="E3" s="61">
        <v>4660</v>
      </c>
      <c r="F3" s="2" t="s">
        <v>1</v>
      </c>
      <c r="G3" s="23" t="s">
        <v>2</v>
      </c>
      <c r="H3" s="24" t="s">
        <v>3</v>
      </c>
      <c r="I3" s="23" t="s">
        <v>4</v>
      </c>
      <c r="J3" s="2" t="s">
        <v>5</v>
      </c>
      <c r="K3" s="2" t="s">
        <v>6</v>
      </c>
      <c r="L3" s="2" t="s">
        <v>68</v>
      </c>
    </row>
    <row r="4" spans="2:12" ht="16" thickBot="1" x14ac:dyDescent="0.25">
      <c r="B4" s="181"/>
      <c r="C4" s="5"/>
      <c r="D4" s="5"/>
      <c r="E4" s="5"/>
      <c r="F4" s="6">
        <v>0</v>
      </c>
      <c r="G4" s="6"/>
      <c r="H4" s="6">
        <f>157+4</f>
        <v>161</v>
      </c>
      <c r="I4" s="6"/>
      <c r="J4" s="7">
        <f>C4+D4+E4+F5+G5+H5+I4</f>
        <v>85330</v>
      </c>
      <c r="K4" s="7">
        <f>J4/H2</f>
        <v>161</v>
      </c>
      <c r="L4" s="72">
        <f>K4-C8</f>
        <v>1</v>
      </c>
    </row>
    <row r="5" spans="2:12" ht="16" thickBot="1" x14ac:dyDescent="0.25">
      <c r="B5" s="182"/>
      <c r="C5" s="9"/>
      <c r="D5" s="9"/>
      <c r="E5" s="9"/>
      <c r="F5" s="10">
        <f>+F4*F2</f>
        <v>0</v>
      </c>
      <c r="G5" s="10">
        <f>+G4*G2</f>
        <v>0</v>
      </c>
      <c r="H5" s="10">
        <f>+H4*H2</f>
        <v>85330</v>
      </c>
      <c r="I5" s="10"/>
      <c r="J5" s="10"/>
      <c r="K5" s="10"/>
    </row>
    <row r="6" spans="2:12" ht="16" thickBot="1" x14ac:dyDescent="0.25"/>
    <row r="7" spans="2:12" ht="16" thickBot="1" x14ac:dyDescent="0.25">
      <c r="B7" s="169" t="s">
        <v>7</v>
      </c>
      <c r="C7" s="170"/>
      <c r="D7" s="25"/>
      <c r="E7" s="25"/>
      <c r="F7" s="25"/>
    </row>
    <row r="8" spans="2:12" x14ac:dyDescent="0.2">
      <c r="B8" s="70" t="s">
        <v>8</v>
      </c>
      <c r="C8" s="6">
        <v>160</v>
      </c>
    </row>
    <row r="9" spans="2:12" x14ac:dyDescent="0.2">
      <c r="B9" s="14" t="s">
        <v>9</v>
      </c>
      <c r="C9" s="15"/>
      <c r="D9" s="15"/>
      <c r="E9" s="15" t="s">
        <v>3</v>
      </c>
    </row>
    <row r="10" spans="2:12" x14ac:dyDescent="0.2">
      <c r="B10" s="10" t="s">
        <v>11</v>
      </c>
      <c r="C10" s="19">
        <f>+C47</f>
        <v>4000</v>
      </c>
      <c r="D10" s="10"/>
      <c r="E10" s="16">
        <f>+E47</f>
        <v>11.547169811320755</v>
      </c>
    </row>
    <row r="11" spans="2:12" x14ac:dyDescent="0.2">
      <c r="B11" s="10" t="s">
        <v>12</v>
      </c>
      <c r="C11" s="10"/>
      <c r="D11" s="10"/>
      <c r="E11" s="10"/>
    </row>
    <row r="12" spans="2:12" ht="21" x14ac:dyDescent="0.25">
      <c r="B12" s="10" t="s">
        <v>13</v>
      </c>
      <c r="C12" s="10"/>
      <c r="D12" s="10"/>
      <c r="E12" s="10"/>
      <c r="H12" s="178"/>
      <c r="I12" s="179"/>
      <c r="J12" s="179"/>
    </row>
    <row r="13" spans="2:12" x14ac:dyDescent="0.2">
      <c r="B13" s="10" t="s">
        <v>14</v>
      </c>
      <c r="C13" s="10"/>
      <c r="D13" s="10"/>
      <c r="E13" s="10"/>
    </row>
    <row r="14" spans="2:12" x14ac:dyDescent="0.2">
      <c r="B14" s="10" t="s">
        <v>15</v>
      </c>
      <c r="C14" s="10"/>
      <c r="D14" s="10"/>
      <c r="E14" s="10"/>
      <c r="H14" s="180"/>
      <c r="I14" s="179"/>
      <c r="J14" s="179"/>
    </row>
    <row r="15" spans="2:12" x14ac:dyDescent="0.2">
      <c r="B15" s="10" t="s">
        <v>16</v>
      </c>
      <c r="C15" s="10"/>
      <c r="D15" s="10"/>
      <c r="E15" s="10"/>
    </row>
    <row r="16" spans="2:12"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v>2000</v>
      </c>
      <c r="D34" s="19"/>
      <c r="E34" s="44">
        <f>C34/$H$2</f>
        <v>3.7735849056603774</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3.7735849056603774</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4</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4000</v>
      </c>
      <c r="D47" s="26"/>
      <c r="E47" s="26">
        <f>SUM(E34:E46)</f>
        <v>11.547169811320755</v>
      </c>
      <c r="F47" s="66"/>
    </row>
    <row r="49" spans="2:10" ht="16" thickBot="1" x14ac:dyDescent="0.25"/>
    <row r="50" spans="2:10" ht="16" thickBot="1" x14ac:dyDescent="0.25">
      <c r="B50" s="141" t="s">
        <v>40</v>
      </c>
      <c r="C50" s="142"/>
      <c r="D50" s="143"/>
      <c r="E50" s="64"/>
      <c r="G50" s="141" t="s">
        <v>45</v>
      </c>
      <c r="H50" s="142"/>
      <c r="I50" s="142"/>
      <c r="J50" s="143"/>
    </row>
    <row r="51" spans="2:10" ht="16" thickBot="1" x14ac:dyDescent="0.25">
      <c r="B51" s="53" t="s">
        <v>10</v>
      </c>
      <c r="C51" s="54" t="s">
        <v>3</v>
      </c>
      <c r="D51" s="55" t="s">
        <v>2</v>
      </c>
      <c r="F51" s="27"/>
      <c r="G51" s="145" t="s">
        <v>84</v>
      </c>
      <c r="H51" s="146"/>
      <c r="I51" s="146"/>
      <c r="J51" s="147"/>
    </row>
    <row r="52" spans="2:10" ht="16" thickBot="1" x14ac:dyDescent="0.25">
      <c r="B52" s="35">
        <v>6300</v>
      </c>
      <c r="C52" s="42">
        <v>454</v>
      </c>
      <c r="D52" s="43">
        <v>65</v>
      </c>
      <c r="G52" s="148"/>
      <c r="H52" s="149"/>
      <c r="I52" s="149"/>
      <c r="J52" s="150"/>
    </row>
    <row r="53" spans="2:10" ht="16" thickBot="1" x14ac:dyDescent="0.25">
      <c r="B53" s="41">
        <f>B52-4000</f>
        <v>2300</v>
      </c>
      <c r="C53" s="42">
        <v>454</v>
      </c>
      <c r="D53" s="43">
        <v>65</v>
      </c>
      <c r="G53" s="148"/>
      <c r="H53" s="149"/>
      <c r="I53" s="149"/>
      <c r="J53" s="150"/>
    </row>
    <row r="54" spans="2:10" ht="16" thickBot="1" x14ac:dyDescent="0.25">
      <c r="G54" s="151"/>
      <c r="H54" s="152"/>
      <c r="I54" s="152"/>
      <c r="J54" s="153"/>
    </row>
  </sheetData>
  <mergeCells count="7">
    <mergeCell ref="G51:J54"/>
    <mergeCell ref="B3:B5"/>
    <mergeCell ref="B7:C7"/>
    <mergeCell ref="H12:J12"/>
    <mergeCell ref="H14:J14"/>
    <mergeCell ref="B50:D50"/>
    <mergeCell ref="G50:J5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O57"/>
  <sheetViews>
    <sheetView workbookViewId="0">
      <selection activeCell="E14" sqref="E14"/>
    </sheetView>
  </sheetViews>
  <sheetFormatPr baseColWidth="10" defaultColWidth="11.5" defaultRowHeight="15" x14ac:dyDescent="0.2"/>
  <cols>
    <col min="2" max="2" width="27.33203125" bestFit="1" customWidth="1"/>
    <col min="7" max="7" width="21.33203125" bestFit="1" customWidth="1"/>
  </cols>
  <sheetData>
    <row r="1" spans="2:15" ht="16" thickBot="1" x14ac:dyDescent="0.25"/>
    <row r="2" spans="2:15" ht="16" thickBot="1" x14ac:dyDescent="0.25">
      <c r="C2" s="93"/>
      <c r="D2" s="93"/>
      <c r="E2" s="93"/>
      <c r="F2" s="94"/>
      <c r="G2">
        <v>533</v>
      </c>
      <c r="H2">
        <v>533</v>
      </c>
      <c r="I2">
        <v>533</v>
      </c>
    </row>
    <row r="3" spans="2:15" ht="16" thickBot="1" x14ac:dyDescent="0.25">
      <c r="B3" s="1" t="s">
        <v>0</v>
      </c>
      <c r="C3" s="61">
        <v>2236</v>
      </c>
      <c r="D3" s="61">
        <v>4910</v>
      </c>
      <c r="E3" s="61">
        <v>4660</v>
      </c>
      <c r="F3" s="2" t="s">
        <v>1</v>
      </c>
      <c r="G3" s="23" t="s">
        <v>2</v>
      </c>
      <c r="H3" s="24" t="s">
        <v>3</v>
      </c>
      <c r="I3" s="23" t="s">
        <v>4</v>
      </c>
      <c r="J3" s="2" t="s">
        <v>5</v>
      </c>
      <c r="K3" s="2" t="s">
        <v>6</v>
      </c>
      <c r="L3" s="2" t="s">
        <v>68</v>
      </c>
    </row>
    <row r="4" spans="2:15" ht="16" thickBot="1" x14ac:dyDescent="0.25">
      <c r="B4" s="63"/>
      <c r="C4" s="96">
        <f>139113+700+7995+2000</f>
        <v>149808</v>
      </c>
      <c r="D4" s="5"/>
      <c r="E4" s="5"/>
      <c r="F4" s="6">
        <v>0</v>
      </c>
      <c r="G4" s="6"/>
      <c r="H4" s="6"/>
      <c r="I4" s="6"/>
      <c r="J4" s="7">
        <f>+C4+D4+E4+F5+G5+H5+I4</f>
        <v>149808</v>
      </c>
      <c r="K4" s="7">
        <f>J4/H2</f>
        <v>281.06566604127579</v>
      </c>
      <c r="L4" s="72">
        <f>K4-C8</f>
        <v>6.5666041275790121E-2</v>
      </c>
    </row>
    <row r="5" spans="2:15" ht="16" thickBot="1" x14ac:dyDescent="0.25">
      <c r="B5" s="62"/>
      <c r="C5" s="9"/>
      <c r="D5" s="9"/>
      <c r="E5" s="9"/>
      <c r="F5" s="10">
        <f>+F4*F2</f>
        <v>0</v>
      </c>
      <c r="G5" s="10">
        <f>+G4*G2</f>
        <v>0</v>
      </c>
      <c r="H5" s="10">
        <f>+H4*H2</f>
        <v>0</v>
      </c>
      <c r="I5" s="10"/>
      <c r="J5" s="10"/>
      <c r="K5" s="10"/>
    </row>
    <row r="6" spans="2:15" ht="16" thickBot="1" x14ac:dyDescent="0.25">
      <c r="O6" t="s">
        <v>85</v>
      </c>
    </row>
    <row r="7" spans="2:15" ht="16" thickBot="1" x14ac:dyDescent="0.25">
      <c r="B7" s="169" t="s">
        <v>7</v>
      </c>
      <c r="C7" s="170"/>
      <c r="D7" s="25"/>
      <c r="E7" s="25"/>
      <c r="F7" s="25"/>
    </row>
    <row r="8" spans="2:15" x14ac:dyDescent="0.2">
      <c r="B8" s="70" t="s">
        <v>8</v>
      </c>
      <c r="C8" s="6">
        <v>281</v>
      </c>
    </row>
    <row r="9" spans="2:15" x14ac:dyDescent="0.2">
      <c r="B9" s="14" t="s">
        <v>9</v>
      </c>
      <c r="C9" s="15"/>
      <c r="D9" s="15"/>
      <c r="E9" s="15" t="s">
        <v>3</v>
      </c>
    </row>
    <row r="10" spans="2:15" x14ac:dyDescent="0.2">
      <c r="B10" s="10" t="s">
        <v>11</v>
      </c>
      <c r="C10" s="19">
        <f>+C47</f>
        <v>2000</v>
      </c>
      <c r="D10" s="10"/>
      <c r="E10" s="16">
        <f>+E47</f>
        <v>9.7523452157598491</v>
      </c>
    </row>
    <row r="11" spans="2:15" x14ac:dyDescent="0.2">
      <c r="B11" s="10" t="s">
        <v>12</v>
      </c>
      <c r="C11" s="10"/>
      <c r="D11" s="10"/>
      <c r="E11" s="10"/>
    </row>
    <row r="12" spans="2:15" ht="21" x14ac:dyDescent="0.25">
      <c r="B12" s="10" t="s">
        <v>13</v>
      </c>
      <c r="C12" s="10"/>
      <c r="D12" s="10"/>
      <c r="E12" s="10"/>
      <c r="H12" s="178"/>
      <c r="I12" s="179"/>
      <c r="J12" s="179"/>
    </row>
    <row r="13" spans="2:15" x14ac:dyDescent="0.2">
      <c r="B13" s="10" t="s">
        <v>14</v>
      </c>
      <c r="C13" s="10">
        <v>7995</v>
      </c>
      <c r="D13" s="10"/>
      <c r="E13" s="10">
        <f>C13/G2</f>
        <v>15</v>
      </c>
    </row>
    <row r="14" spans="2:15" x14ac:dyDescent="0.2">
      <c r="B14" s="10" t="s">
        <v>15</v>
      </c>
      <c r="C14" s="10"/>
      <c r="D14" s="10"/>
      <c r="E14" s="10"/>
      <c r="H14" s="180"/>
      <c r="I14" s="179"/>
      <c r="J14" s="179"/>
    </row>
    <row r="15" spans="2:15" x14ac:dyDescent="0.2">
      <c r="B15" s="10" t="s">
        <v>16</v>
      </c>
      <c r="C15" s="10"/>
      <c r="D15" s="10"/>
      <c r="E15" s="10"/>
    </row>
    <row r="16" spans="2:15" x14ac:dyDescent="0.2">
      <c r="B16" s="10" t="s">
        <v>17</v>
      </c>
      <c r="C16" s="10"/>
      <c r="D16" s="10"/>
      <c r="E16" s="10"/>
    </row>
    <row r="17" spans="2:6" x14ac:dyDescent="0.2">
      <c r="B17" s="10" t="s">
        <v>18</v>
      </c>
      <c r="C17" s="10"/>
      <c r="D17" s="19"/>
      <c r="E17" s="10"/>
    </row>
    <row r="18" spans="2:6" x14ac:dyDescent="0.2">
      <c r="B18" s="10" t="s">
        <v>19</v>
      </c>
      <c r="C18" s="10"/>
      <c r="D18" s="10"/>
      <c r="E18" s="10"/>
    </row>
    <row r="19" spans="2:6" x14ac:dyDescent="0.2">
      <c r="B19" s="10" t="s">
        <v>20</v>
      </c>
      <c r="C19" s="10"/>
      <c r="D19" s="10"/>
      <c r="E19" s="10"/>
    </row>
    <row r="20" spans="2:6" x14ac:dyDescent="0.2">
      <c r="B20" s="10" t="s">
        <v>21</v>
      </c>
      <c r="C20" s="10"/>
      <c r="D20" s="10"/>
      <c r="E20" s="10"/>
    </row>
    <row r="21" spans="2:6" x14ac:dyDescent="0.2">
      <c r="B21" s="10" t="s">
        <v>22</v>
      </c>
      <c r="C21" s="10"/>
      <c r="D21" s="10"/>
      <c r="E21" s="10"/>
    </row>
    <row r="22" spans="2:6" x14ac:dyDescent="0.2">
      <c r="B22" s="10" t="s">
        <v>23</v>
      </c>
      <c r="C22" s="10"/>
      <c r="D22" s="10"/>
      <c r="E22" s="10"/>
    </row>
    <row r="23" spans="2:6" x14ac:dyDescent="0.2">
      <c r="B23" s="10" t="s">
        <v>24</v>
      </c>
      <c r="C23" s="10"/>
      <c r="D23" s="10"/>
      <c r="E23" s="10"/>
    </row>
    <row r="24" spans="2:6" x14ac:dyDescent="0.2">
      <c r="B24" s="10" t="s">
        <v>25</v>
      </c>
      <c r="C24" s="10"/>
      <c r="D24" s="10"/>
      <c r="E24" s="10"/>
    </row>
    <row r="25" spans="2:6" x14ac:dyDescent="0.2">
      <c r="B25" s="10" t="s">
        <v>26</v>
      </c>
      <c r="C25" s="10"/>
      <c r="D25" s="10"/>
      <c r="E25" s="10"/>
    </row>
    <row r="26" spans="2:6" x14ac:dyDescent="0.2">
      <c r="B26" s="10" t="s">
        <v>60</v>
      </c>
      <c r="C26" s="10"/>
      <c r="D26" s="10"/>
      <c r="E26" s="10"/>
    </row>
    <row r="27" spans="2:6" x14ac:dyDescent="0.2">
      <c r="B27" s="10" t="s">
        <v>28</v>
      </c>
      <c r="C27" s="10"/>
      <c r="D27" s="10"/>
      <c r="E27" s="10"/>
    </row>
    <row r="28" spans="2:6" x14ac:dyDescent="0.2">
      <c r="B28" s="10" t="s">
        <v>58</v>
      </c>
      <c r="C28" s="10"/>
      <c r="D28" s="10"/>
      <c r="E28" s="10"/>
    </row>
    <row r="29" spans="2:6" x14ac:dyDescent="0.2">
      <c r="B29" s="10" t="s">
        <v>30</v>
      </c>
      <c r="C29" s="10"/>
      <c r="D29" s="10"/>
      <c r="E29" s="10"/>
    </row>
    <row r="30" spans="2:6" x14ac:dyDescent="0.2">
      <c r="B30" s="13" t="s">
        <v>31</v>
      </c>
      <c r="C30" s="13"/>
      <c r="D30" s="13">
        <f>SUM(D10:D29)</f>
        <v>0</v>
      </c>
      <c r="E30" s="17">
        <f>SUM(G10:G20)+G24+G25+G26+G27+E28+E29</f>
        <v>0</v>
      </c>
      <c r="F30" s="64"/>
    </row>
    <row r="33" spans="2:8" x14ac:dyDescent="0.2">
      <c r="B33" s="14" t="s">
        <v>11</v>
      </c>
      <c r="C33" s="15" t="s">
        <v>10</v>
      </c>
      <c r="D33" s="15"/>
      <c r="E33" s="14" t="s">
        <v>3</v>
      </c>
      <c r="F33" s="64"/>
    </row>
    <row r="34" spans="2:8" x14ac:dyDescent="0.2">
      <c r="B34" s="10" t="s">
        <v>32</v>
      </c>
      <c r="C34" s="19"/>
      <c r="D34" s="19"/>
      <c r="E34" s="44">
        <f>C34/$H$2</f>
        <v>0</v>
      </c>
      <c r="F34" s="65"/>
      <c r="H34" s="65"/>
    </row>
    <row r="35" spans="2:8" x14ac:dyDescent="0.2">
      <c r="B35" s="10" t="s">
        <v>33</v>
      </c>
      <c r="C35" s="19"/>
      <c r="D35" s="19"/>
      <c r="E35" s="44">
        <f>C35/$H$2</f>
        <v>0</v>
      </c>
      <c r="F35" s="65"/>
    </row>
    <row r="36" spans="2:8" x14ac:dyDescent="0.2">
      <c r="B36" s="10" t="s">
        <v>34</v>
      </c>
      <c r="C36" s="19"/>
      <c r="D36" s="19"/>
      <c r="E36" s="44">
        <f>C36/$H$2</f>
        <v>0</v>
      </c>
      <c r="F36" s="65"/>
    </row>
    <row r="37" spans="2:8" x14ac:dyDescent="0.2">
      <c r="B37" s="10" t="s">
        <v>35</v>
      </c>
      <c r="C37" s="19"/>
      <c r="D37" s="19"/>
      <c r="E37" s="44">
        <f>C37/$H$2</f>
        <v>0</v>
      </c>
      <c r="F37" s="65"/>
    </row>
    <row r="38" spans="2:8" x14ac:dyDescent="0.2">
      <c r="B38" s="10" t="s">
        <v>36</v>
      </c>
      <c r="C38" s="19">
        <v>2000</v>
      </c>
      <c r="D38" s="19"/>
      <c r="E38" s="44">
        <f>C38/$H$2</f>
        <v>3.75234521575985</v>
      </c>
      <c r="F38" s="65"/>
    </row>
    <row r="39" spans="2:8" x14ac:dyDescent="0.2">
      <c r="B39" s="68" t="s">
        <v>37</v>
      </c>
      <c r="C39" s="19"/>
      <c r="D39" s="19"/>
      <c r="E39" s="44"/>
      <c r="F39" s="65"/>
    </row>
    <row r="40" spans="2:8" x14ac:dyDescent="0.2">
      <c r="B40" s="10" t="s">
        <v>38</v>
      </c>
      <c r="C40" s="19"/>
      <c r="D40" s="19"/>
      <c r="E40" s="19"/>
      <c r="F40" s="65"/>
    </row>
    <row r="41" spans="2:8" x14ac:dyDescent="0.2">
      <c r="B41" s="10" t="s">
        <v>39</v>
      </c>
      <c r="C41" s="19"/>
      <c r="D41" s="19"/>
      <c r="E41" s="19"/>
      <c r="F41" s="65"/>
    </row>
    <row r="42" spans="2:8" x14ac:dyDescent="0.2">
      <c r="B42" s="10"/>
      <c r="C42" s="19"/>
      <c r="D42" s="19"/>
      <c r="E42" s="10"/>
      <c r="F42" s="65"/>
    </row>
    <row r="43" spans="2:8" x14ac:dyDescent="0.2">
      <c r="B43" s="20">
        <v>0.02</v>
      </c>
      <c r="C43" s="19"/>
      <c r="D43" s="19"/>
      <c r="E43" s="45">
        <f>ROUNDUP(K4*0.02,0)</f>
        <v>6</v>
      </c>
      <c r="F43" s="65"/>
    </row>
    <row r="44" spans="2:8" x14ac:dyDescent="0.2">
      <c r="B44" s="10"/>
      <c r="C44" s="19"/>
      <c r="D44" s="19"/>
      <c r="E44" s="10"/>
      <c r="F44" s="65"/>
    </row>
    <row r="45" spans="2:8" x14ac:dyDescent="0.2">
      <c r="B45" s="10"/>
      <c r="C45" s="19"/>
      <c r="D45" s="19"/>
      <c r="E45" s="10"/>
      <c r="F45" s="65"/>
    </row>
    <row r="46" spans="2:8" x14ac:dyDescent="0.2">
      <c r="B46" s="10"/>
      <c r="C46" s="19"/>
      <c r="D46" s="19"/>
      <c r="E46" s="10"/>
      <c r="F46" s="65"/>
    </row>
    <row r="47" spans="2:8" x14ac:dyDescent="0.2">
      <c r="B47" s="13" t="s">
        <v>44</v>
      </c>
      <c r="C47" s="26">
        <f>SUM(C34:C46)</f>
        <v>2000</v>
      </c>
      <c r="D47" s="26"/>
      <c r="E47" s="26">
        <f>SUM(E34:E46)</f>
        <v>9.7523452157598491</v>
      </c>
      <c r="F47" s="66"/>
    </row>
    <row r="49" spans="2:10" ht="16" thickBot="1" x14ac:dyDescent="0.25"/>
    <row r="50" spans="2:10" ht="16" thickBot="1" x14ac:dyDescent="0.25">
      <c r="B50" s="141" t="s">
        <v>40</v>
      </c>
      <c r="C50" s="142"/>
      <c r="D50" s="143"/>
      <c r="E50" s="64"/>
      <c r="G50" s="141" t="s">
        <v>45</v>
      </c>
      <c r="H50" s="142"/>
      <c r="I50" s="142"/>
      <c r="J50" s="143"/>
    </row>
    <row r="51" spans="2:10" ht="15" customHeight="1" thickBot="1" x14ac:dyDescent="0.25">
      <c r="B51" s="53" t="s">
        <v>10</v>
      </c>
      <c r="C51" s="54" t="s">
        <v>3</v>
      </c>
      <c r="D51" s="55" t="s">
        <v>2</v>
      </c>
      <c r="F51" s="27"/>
      <c r="G51" s="145" t="s">
        <v>83</v>
      </c>
      <c r="H51" s="146"/>
      <c r="I51" s="146"/>
      <c r="J51" s="147"/>
    </row>
    <row r="52" spans="2:10" ht="16" thickBot="1" x14ac:dyDescent="0.25">
      <c r="B52" s="35">
        <v>2300</v>
      </c>
      <c r="C52" s="42">
        <v>454</v>
      </c>
      <c r="D52" s="43">
        <v>65</v>
      </c>
      <c r="G52" s="148"/>
      <c r="H52" s="149"/>
      <c r="I52" s="149"/>
      <c r="J52" s="150"/>
    </row>
    <row r="53" spans="2:10" ht="16" thickBot="1" x14ac:dyDescent="0.25">
      <c r="B53" s="41">
        <f>B52-2300</f>
        <v>0</v>
      </c>
      <c r="C53" s="42">
        <v>454</v>
      </c>
      <c r="D53" s="43">
        <v>65</v>
      </c>
      <c r="G53" s="148"/>
      <c r="H53" s="149"/>
      <c r="I53" s="149"/>
      <c r="J53" s="150"/>
    </row>
    <row r="54" spans="2:10" x14ac:dyDescent="0.2">
      <c r="G54" s="148"/>
      <c r="H54" s="149"/>
      <c r="I54" s="149"/>
      <c r="J54" s="150"/>
    </row>
    <row r="55" spans="2:10" x14ac:dyDescent="0.2">
      <c r="G55" s="148"/>
      <c r="H55" s="149"/>
      <c r="I55" s="149"/>
      <c r="J55" s="150"/>
    </row>
    <row r="56" spans="2:10" x14ac:dyDescent="0.2">
      <c r="G56" s="148"/>
      <c r="H56" s="149"/>
      <c r="I56" s="149"/>
      <c r="J56" s="150"/>
    </row>
    <row r="57" spans="2:10" ht="16" thickBot="1" x14ac:dyDescent="0.25">
      <c r="G57" s="151"/>
      <c r="H57" s="152"/>
      <c r="I57" s="152"/>
      <c r="J57" s="153"/>
    </row>
  </sheetData>
  <mergeCells count="6">
    <mergeCell ref="G51:J57"/>
    <mergeCell ref="B7:C7"/>
    <mergeCell ref="H12:J12"/>
    <mergeCell ref="H14:J14"/>
    <mergeCell ref="B50:D50"/>
    <mergeCell ref="G50:J5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3:M34"/>
  <sheetViews>
    <sheetView topLeftCell="A18" workbookViewId="0">
      <selection activeCell="C35" sqref="C35"/>
    </sheetView>
  </sheetViews>
  <sheetFormatPr baseColWidth="10" defaultColWidth="11.33203125" defaultRowHeight="15" x14ac:dyDescent="0.2"/>
  <cols>
    <col min="2" max="2" width="52.5" customWidth="1"/>
    <col min="3" max="4" width="19.33203125" customWidth="1"/>
    <col min="5" max="5" width="18.83203125" customWidth="1"/>
    <col min="7" max="7" width="12.6640625" bestFit="1" customWidth="1"/>
  </cols>
  <sheetData>
    <row r="3" spans="2:13" x14ac:dyDescent="0.2">
      <c r="B3" t="s">
        <v>134</v>
      </c>
    </row>
    <row r="6" spans="2:13" x14ac:dyDescent="0.2">
      <c r="B6" s="13" t="s">
        <v>128</v>
      </c>
      <c r="C6" s="26">
        <f>Ventas!K34</f>
        <v>5029942.5999999996</v>
      </c>
      <c r="D6" s="26">
        <f>Ventas!L34</f>
        <v>9604.7390892218682</v>
      </c>
      <c r="G6" s="65"/>
    </row>
    <row r="7" spans="2:13" x14ac:dyDescent="0.2">
      <c r="B7" s="15" t="s">
        <v>9</v>
      </c>
      <c r="C7" s="103" t="s">
        <v>10</v>
      </c>
      <c r="D7" s="103" t="s">
        <v>3</v>
      </c>
      <c r="E7" s="15" t="s">
        <v>129</v>
      </c>
      <c r="G7" s="65"/>
    </row>
    <row r="8" spans="2:13" x14ac:dyDescent="0.2">
      <c r="B8" s="10" t="s">
        <v>11</v>
      </c>
      <c r="C8" s="19">
        <f>'DÍA 1'!C10+'DÍA 2'!C10+'DÍA 3'!C10+'DÍA 4'!C10+'DÍA 5'!C10+'DÍA 6'!C10+'DÍA 7'!C10+'DÍA 8'!C10+'DÍA 9'!C10+'DÍA 10'!C10+'DÍA 11'!C10+'DÍA 12'!C10+'DÍA 13'!C10+'DÍA 14'!C10+'DÍA 15'!C10+'DÍA 16'!C10+'DÍA 17'!C10+'DÍA 18'!C10+'DÍA 19'!C10+'DÍA 20'!C10+'DÍA 21'!C10+'DÍA 22'!C10+'DÍA 23'!C10+'DÍA 24'!C10+'DÍA 25'!C10+'DÍA 26'!C10+'DÍA 27'!C10+'DÍA 28'!C10+'DÍA 29'!C10+'DÍA 30'!C10</f>
        <v>97250</v>
      </c>
      <c r="D8" s="19">
        <f>'DÍA 1'!F10+'DÍA 2'!F10+'DÍA 3'!F10+'DÍA 4'!F10+'DÍA 5'!F10+'DÍA 6'!F10+'DÍA 7'!F10+'DÍA 8'!F10+'DÍA 9'!F10+'DÍA 10'!F10+'DÍA 11'!F10+'DÍA 12'!F10+'DÍA 13'!F10+'DÍA 14'!F10+'DÍA 15'!E10+'DÍA 16'!E10+'DÍA 17'!E10+'DÍA 18'!E10+'DÍA 19'!E10+'DÍA 20'!E10+'DÍA 21'!E10+'DÍA 22'!E10+'DÍA 23'!E10+'DÍA 24'!E10+'DÍA 25'!E10+'DÍA 26'!E10+'DÍA 27'!E10+'DÍA 28'!E10+'DÍA 29'!E10+'DÍA 30'!E10</f>
        <v>936.58897354243334</v>
      </c>
      <c r="E8" s="104">
        <f>D8/$D$29</f>
        <v>0.60645008975283554</v>
      </c>
      <c r="K8">
        <f>'DÍA 1'!D10+'DÍA 2'!D10+'DÍA 3'!D10+'DÍA 4'!D10+'DÍA 5'!D10+'DÍA 6'!D10+'DÍA 7'!D10+'DÍA 8'!D10+'DÍA 9'!D10+'DÍA 10'!D10+'DÍA 11'!D10+'DÍA 12'!D10+'DÍA 13'!D10+'DÍA 14'!D10+'DÍA 15'!D10+'DÍA 16'!D10+'DÍA 17'!D10+'DÍA 18'!D10+'DÍA 19'!D10+'DÍA 20'!D10+'DÍA 21'!D10+'DÍA 22'!D10+'DÍA 23'!D10+'DÍA 24'!D10+'DÍA 25'!D10+'DÍA 26'!D10+'DÍA 27'!D10+'DÍA 28'!D10+'DÍA 29'!D10+'DÍA 30'!D10</f>
        <v>0</v>
      </c>
      <c r="L8" s="57">
        <f>'DÍA 1'!E10+'DÍA 2'!E10+'DÍA 3'!E10+'DÍA 4'!E10+'DÍA 5'!E10+'DÍA 6'!E10+'DÍA 7'!E10+'DÍA 8'!E10+'DÍA 9'!E10+'DÍA 10'!E10+'DÍA 11'!E10+'DÍA 12'!E10+'DÍA 13'!E10+'DÍA 14'!E10+'DÍA 15'!E10+'DÍA 16'!E10+'DÍA 17'!E10+'DÍA 18'!E10+'DÍA 19'!E10+'DÍA 20'!E10+'DÍA 21'!E10+'DÍA 22'!E10+'DÍA 23'!E10+'DÍA 24'!E10+'DÍA 25'!E10+'DÍA 26'!E10+'DÍA 27'!E10+'DÍA 28'!E10+'DÍA 29'!E10+'DÍA 30'!E10</f>
        <v>558.90418708458276</v>
      </c>
      <c r="M8" s="57">
        <f>'DÍA 1'!F10+'DÍA 2'!F10+'DÍA 3'!F10+'DÍA 4'!F10+'DÍA 5'!F10+'DÍA 6'!F10+'DÍA 7'!F10+'DÍA 8'!F10+'DÍA 9'!F10+'DÍA 10'!F10+'DÍA 11'!F10+'DÍA 12'!F10+'DÍA 13'!F10+'DÍA 14'!F10+'DÍA 15'!E10+'DÍA 16'!E10+'DÍA 17'!E10+'DÍA 18'!E10+'DÍA 19'!E10+'DÍA 20'!E10+'DÍA 21'!E10+'DÍA 22'!E10+'DÍA 23'!E10+'DÍA 24'!E10+'DÍA 25'!E10+'DÍA 26'!E10+'DÍA 27'!E10+'DÍA 28'!E10+'DÍA 29'!E10+'DÍA 30'!E10</f>
        <v>936.58897354243334</v>
      </c>
    </row>
    <row r="9" spans="2:13" x14ac:dyDescent="0.2">
      <c r="B9" s="10" t="s">
        <v>12</v>
      </c>
      <c r="C9" s="19">
        <f>'DÍA 1'!C11+'DÍA 2'!C11+'DÍA 3'!C11+'DÍA 4'!C11+'DÍA 5'!C11+'DÍA 6'!C11+'DÍA 7'!C11+'DÍA 8'!C11+'DÍA 9'!C11+'DÍA 10'!C11+'DÍA 11'!C11+'DÍA 12'!C11+'DÍA 13'!C11+'DÍA 14'!C11+'DÍA 15'!C11+'DÍA 16'!C11+'DÍA 17'!C11+'DÍA 18'!C11+'DÍA 19'!C11+'DÍA 20'!C11+'DÍA 21'!C11+'DÍA 22'!C11+'DÍA 23'!C11+'DÍA 24'!C11+'DÍA 25'!C11+'DÍA 26'!C11+'DÍA 27'!C11+'DÍA 28'!C11+'DÍA 29'!C11+'DÍA 30'!C11</f>
        <v>0</v>
      </c>
      <c r="D9" s="19">
        <f>'DÍA 1'!F11+'DÍA 2'!F11+'DÍA 3'!F11+'DÍA 4'!F11+'DÍA 5'!F11+'DÍA 6'!F11+'DÍA 7'!F11+'DÍA 8'!F11+'DÍA 9'!F11+'DÍA 10'!F11+'DÍA 11'!F11+'DÍA 12'!F11+'DÍA 13'!F11+'DÍA 14'!F11+'DÍA 15'!E11+'DÍA 16'!E11+'DÍA 17'!E11+'DÍA 18'!E11+'DÍA 19'!E11+'DÍA 20'!E11+'DÍA 21'!E11+'DÍA 22'!E11+'DÍA 23'!E11+'DÍA 24'!E11+'DÍA 25'!E11+'DÍA 26'!E11+'DÍA 27'!E11+'DÍA 28'!E11+'DÍA 29'!E11+'DÍA 30'!E11</f>
        <v>300</v>
      </c>
      <c r="E9" s="104">
        <f t="shared" ref="E9:E29" si="0">D9/$D$29</f>
        <v>0.19425279612007718</v>
      </c>
    </row>
    <row r="10" spans="2:13" x14ac:dyDescent="0.2">
      <c r="B10" s="10" t="s">
        <v>13</v>
      </c>
      <c r="C10" s="19">
        <f>C11+C12+C13</f>
        <v>7995</v>
      </c>
      <c r="D10" s="19">
        <f>D11+D12+D13</f>
        <v>62</v>
      </c>
      <c r="E10" s="105">
        <f t="shared" si="0"/>
        <v>4.014557786481595E-2</v>
      </c>
    </row>
    <row r="11" spans="2:13" x14ac:dyDescent="0.2">
      <c r="B11" s="106" t="s">
        <v>14</v>
      </c>
      <c r="C11" s="19">
        <f>'DÍA 1'!C13+'DÍA 2'!C13+'DÍA 3'!C13+'DÍA 4'!C13+'DÍA 5'!C13+'DÍA 6'!C13+'DÍA 7'!C13+'DÍA 8'!C13+'DÍA 9'!C13+'DÍA 10'!C13+'DÍA 11'!C13+'DÍA 12'!C13+'DÍA 13'!C13+'DÍA 14'!C13+'DÍA 15'!C13+'DÍA 16'!C13+'DÍA 17'!C13+'DÍA 18'!C13+'DÍA 19'!C13+'DÍA 20'!C13+'DÍA 21'!C13+'DÍA 22'!C13+'DÍA 23'!C13+'DÍA 24'!C13+'DÍA 25'!C13+'DÍA 26'!C13+'DÍA 27'!C13+'DÍA 28'!C13+'DÍA 29'!C13+'DÍA 30'!C13</f>
        <v>7995</v>
      </c>
      <c r="D11" s="19">
        <f>'DÍA 1'!F13+'DÍA 2'!F13+'DÍA 3'!F13+'DÍA 4'!F13+'DÍA 5'!F13+'DÍA 6'!F13+'DÍA 7'!F13+'DÍA 8'!F13+'DÍA 9'!F13+'DÍA 10'!F13+'DÍA 11'!F13+'DÍA 12'!F13+'DÍA 13'!F13+'DÍA 14'!F13+'DÍA 15'!E13+'DÍA 16'!E13+'DÍA 17'!E13+'DÍA 18'!E13+'DÍA 19'!E13+'DÍA 20'!E13+'DÍA 21'!E13+'DÍA 22'!E13+'DÍA 23'!E13+'DÍA 24'!E13+'DÍA 25'!E13+'DÍA 26'!E13+'DÍA 27'!E13+'DÍA 28'!E13+'DÍA 29'!E13+'DÍA 30'!E13</f>
        <v>62</v>
      </c>
      <c r="E11" s="104">
        <f t="shared" si="0"/>
        <v>4.014557786481595E-2</v>
      </c>
      <c r="I11" s="107"/>
      <c r="K11" s="65"/>
      <c r="M11">
        <v>538.9</v>
      </c>
    </row>
    <row r="12" spans="2:13" x14ac:dyDescent="0.2">
      <c r="B12" s="106" t="s">
        <v>15</v>
      </c>
      <c r="C12" s="19">
        <f>'DÍA 1'!C14+'DÍA 2'!C14+'DÍA 3'!C14+'DÍA 4'!C14+'DÍA 5'!C14+'DÍA 6'!C14+'DÍA 7'!C14+'DÍA 8'!C14+'DÍA 9'!C14+'DÍA 10'!C14+'DÍA 11'!C14+'DÍA 12'!C14+'DÍA 13'!C14+'DÍA 14'!C14+'DÍA 15'!C14+'DÍA 16'!C14+'DÍA 17'!C14+'DÍA 18'!C14+'DÍA 19'!C14+'DÍA 20'!C14+'DÍA 21'!C14+'DÍA 22'!C14+'DÍA 23'!C14+'DÍA 24'!C14+'DÍA 25'!C14+'DÍA 26'!C14+'DÍA 27'!C14+'DÍA 28'!C14+'DÍA 29'!C14+'DÍA 30'!C14</f>
        <v>0</v>
      </c>
      <c r="D12" s="19">
        <f>'DÍA 1'!F14+'DÍA 2'!F14+'DÍA 3'!F14+'DÍA 4'!F14+'DÍA 5'!F14+'DÍA 6'!F14+'DÍA 7'!F14+'DÍA 8'!F14+'DÍA 9'!F14+'DÍA 10'!F14+'DÍA 11'!F14+'DÍA 12'!F14+'DÍA 13'!F14+'DÍA 14'!F14+'DÍA 15'!E14+'DÍA 16'!E14+'DÍA 17'!E14+'DÍA 18'!E14+'DÍA 19'!E14+'DÍA 20'!E14+'DÍA 21'!E14+'DÍA 22'!E14+'DÍA 23'!E14+'DÍA 24'!E14+'DÍA 25'!E14+'DÍA 26'!E14+'DÍA 27'!E14+'DÍA 28'!E14+'DÍA 29'!E14+'DÍA 30'!E14</f>
        <v>0</v>
      </c>
      <c r="E12" s="104">
        <f t="shared" si="0"/>
        <v>0</v>
      </c>
      <c r="M12">
        <v>377.68</v>
      </c>
    </row>
    <row r="13" spans="2:13" x14ac:dyDescent="0.2">
      <c r="B13" s="106" t="s">
        <v>16</v>
      </c>
      <c r="C13" s="19">
        <f>'DÍA 1'!C15+'DÍA 2'!C15+'DÍA 3'!C15+'DÍA 4'!C15+'DÍA 5'!C15+'DÍA 6'!C15+'DÍA 7'!C15+'DÍA 8'!C15+'DÍA 9'!C15+'DÍA 10'!C15+'DÍA 11'!C15+'DÍA 12'!C15+'DÍA 13'!C15+'DÍA 14'!C15+'DÍA 15'!C15+'DÍA 16'!C15+'DÍA 17'!C15+'DÍA 18'!C15+'DÍA 19'!C15+'DÍA 20'!C15+'DÍA 21'!C15+'DÍA 22'!C15+'DÍA 23'!C15+'DÍA 24'!C15+'DÍA 25'!C15+'DÍA 26'!C15+'DÍA 27'!C15+'DÍA 28'!C15+'DÍA 29'!C15+'DÍA 30'!C15</f>
        <v>0</v>
      </c>
      <c r="D13" s="19">
        <f>'DÍA 1'!F15+'DÍA 2'!F15+'DÍA 3'!F15+'DÍA 4'!F15+'DÍA 5'!F15+'DÍA 6'!F15+'DÍA 7'!F15+'DÍA 8'!F15+'DÍA 9'!F15+'DÍA 10'!F15+'DÍA 11'!F15+'DÍA 12'!F15+'DÍA 13'!F15+'DÍA 14'!F15+'DÍA 15'!E15+'DÍA 16'!E15+'DÍA 17'!E15+'DÍA 18'!E15+'DÍA 19'!E15+'DÍA 20'!E15+'DÍA 21'!E15+'DÍA 22'!E15+'DÍA 23'!E15+'DÍA 24'!E15+'DÍA 25'!E15+'DÍA 26'!E15+'DÍA 27'!E15+'DÍA 28'!E15+'DÍA 29'!E15+'DÍA 30'!E15</f>
        <v>0</v>
      </c>
      <c r="E13" s="104">
        <f t="shared" si="0"/>
        <v>0</v>
      </c>
      <c r="G13" s="65"/>
    </row>
    <row r="14" spans="2:13" x14ac:dyDescent="0.2">
      <c r="B14" s="10" t="s">
        <v>17</v>
      </c>
      <c r="C14" s="19">
        <f>'DÍA 1'!C16+'DÍA 2'!C16+'DÍA 3'!C16+'DÍA 4'!C16+'DÍA 5'!C16+'DÍA 6'!C16+'DÍA 7'!C16+'DÍA 8'!C16+'DÍA 9'!C16+'DÍA 10'!C16+'DÍA 11'!C16+'DÍA 12'!C16+'DÍA 13'!C16+'DÍA 14'!C16+'DÍA 15'!C16+'DÍA 16'!C16+'DÍA 17'!C16+'DÍA 18'!C16+'DÍA 19'!C16+'DÍA 20'!C16+'DÍA 21'!C16+'DÍA 22'!C16+'DÍA 23'!C16+'DÍA 24'!C16+'DÍA 25'!C16+'DÍA 26'!C16+'DÍA 27'!C16+'DÍA 28'!C16+'DÍA 29'!C16+'DÍA 30'!C16</f>
        <v>940</v>
      </c>
      <c r="D14" s="19">
        <f>'DÍA 1'!F16+'DÍA 2'!F16+'DÍA 3'!F16+'DÍA 4'!F16+'DÍA 5'!F16+'DÍA 6'!F16+'DÍA 7'!F16+'DÍA 8'!F16+'DÍA 9'!F16+'DÍA 10'!F16+'DÍA 11'!F16+'DÍA 12'!F16+'DÍA 13'!F16+'DÍA 14'!F16+'DÍA 15'!E16+'DÍA 16'!E16+'DÍA 17'!E16+'DÍA 18'!E16+'DÍA 19'!E16+'DÍA 20'!E16+'DÍA 21'!E16+'DÍA 22'!E16+'DÍA 23'!E16+'DÍA 24'!E16+'DÍA 25'!E16+'DÍA 26'!E16+'DÍA 27'!E16+'DÍA 28'!E16+'DÍA 29'!E16+'DÍA 30'!E16</f>
        <v>1.7735849056603774</v>
      </c>
      <c r="E14" s="104">
        <f t="shared" si="0"/>
        <v>1.1484127569363054E-3</v>
      </c>
    </row>
    <row r="15" spans="2:13" x14ac:dyDescent="0.2">
      <c r="B15" s="10" t="s">
        <v>18</v>
      </c>
      <c r="C15" s="19">
        <f>'DÍA 1'!C17+'DÍA 2'!C17+'DÍA 3'!C17+'DÍA 4'!C17+'DÍA 5'!C17+'DÍA 6'!C17+'DÍA 7'!C17+'DÍA 8'!C17+'DÍA 9'!C17+'DÍA 10'!C17+'DÍA 11'!C17+'DÍA 12'!C17+'DÍA 13'!C17+'DÍA 14'!C17+'DÍA 15'!C17+'DÍA 16'!C17+'DÍA 17'!C17+'DÍA 18'!C17+'DÍA 19'!C17+'DÍA 20'!C17+'DÍA 21'!C17+'DÍA 22'!C17+'DÍA 23'!C17+'DÍA 24'!C17+'DÍA 25'!C17+'DÍA 26'!C17+'DÍA 27'!C17+'DÍA 28'!C17+'DÍA 29'!C17+'DÍA 30'!C17</f>
        <v>75</v>
      </c>
      <c r="D15" s="19">
        <f>'DÍA 1'!F17+'DÍA 2'!F17+'DÍA 3'!F17+'DÍA 4'!F17+'DÍA 5'!F17+'DÍA 6'!F17+'DÍA 7'!F17+'DÍA 8'!F17+'DÍA 9'!F17+'DÍA 10'!F17+'DÍA 11'!F17+'DÍA 12'!F17+'DÍA 13'!F17+'DÍA 14'!F17+'DÍA 15'!E17+'DÍA 16'!E17+'DÍA 17'!E17+'DÍA 18'!E17+'DÍA 19'!E17+'DÍA 20'!E17+'DÍA 21'!E17+'DÍA 22'!E17+'DÍA 23'!E17+'DÍA 24'!E17+'DÍA 25'!E17+'DÍA 26'!E17+'DÍA 27'!E17+'DÍA 28'!E17+'DÍA 29'!E17+'DÍA 30'!E17</f>
        <v>0.14423076923076922</v>
      </c>
      <c r="E15" s="104">
        <f t="shared" si="0"/>
        <v>9.339076736542172E-5</v>
      </c>
    </row>
    <row r="16" spans="2:13" x14ac:dyDescent="0.2">
      <c r="B16" s="10" t="s">
        <v>19</v>
      </c>
      <c r="C16" s="19">
        <f>'DÍA 1'!C18+'DÍA 2'!C18+'DÍA 3'!C18+'DÍA 4'!C18+'DÍA 5'!C18+'DÍA 6'!C18+'DÍA 7'!C18+'DÍA 8'!C18+'DÍA 9'!C18+'DÍA 10'!C18+'DÍA 11'!C18+'DÍA 12'!C18+'DÍA 13'!C18+'DÍA 14'!C18+'DÍA 15'!C18+'DÍA 16'!C18+'DÍA 17'!C18+'DÍA 18'!C18+'DÍA 19'!C18+'DÍA 20'!C18+'DÍA 21'!C18+'DÍA 22'!C18+'DÍA 23'!C18+'DÍA 24'!C18+'DÍA 25'!C18+'DÍA 26'!C18+'DÍA 27'!C18+'DÍA 28'!C18+'DÍA 29'!C18+'DÍA 30'!C18</f>
        <v>0</v>
      </c>
      <c r="D16" s="19">
        <f>'DÍA 1'!F18+'DÍA 2'!F18+'DÍA 3'!F18+'DÍA 4'!F18+'DÍA 5'!F18+'DÍA 6'!F18+'DÍA 7'!F18+'DÍA 8'!F18+'DÍA 9'!F18+'DÍA 10'!F18+'DÍA 11'!F18+'DÍA 12'!F18+'DÍA 13'!F18+'DÍA 14'!F18+'DÍA 15'!E18+'DÍA 16'!E18+'DÍA 17'!E18+'DÍA 18'!E18+'DÍA 19'!E18+'DÍA 20'!E18+'DÍA 21'!E18+'DÍA 22'!E18+'DÍA 23'!E18+'DÍA 24'!E18+'DÍA 25'!E18+'DÍA 26'!E18+'DÍA 27'!E18+'DÍA 28'!E18+'DÍA 29'!E18+'DÍA 30'!E18</f>
        <v>0</v>
      </c>
      <c r="E16" s="104">
        <f t="shared" si="0"/>
        <v>0</v>
      </c>
    </row>
    <row r="17" spans="2:8" x14ac:dyDescent="0.2">
      <c r="B17" s="10" t="s">
        <v>20</v>
      </c>
      <c r="C17" s="19">
        <f>'DÍA 1'!C19+'DÍA 2'!C19+'DÍA 3'!C19+'DÍA 4'!C19+'DÍA 5'!C19+'DÍA 6'!C19+'DÍA 7'!C19+'DÍA 8'!C19+'DÍA 9'!C19+'DÍA 10'!C19+'DÍA 11'!C19+'DÍA 12'!C19+'DÍA 13'!C19+'DÍA 14'!C19+'DÍA 15'!C19+'DÍA 16'!C19+'DÍA 17'!C19+'DÍA 18'!C19+'DÍA 19'!C19+'DÍA 20'!C19+'DÍA 21'!C19+'DÍA 22'!C19+'DÍA 23'!C19+'DÍA 24'!C19+'DÍA 25'!C19+'DÍA 26'!C19+'DÍA 27'!C19+'DÍA 28'!C19+'DÍA 29'!C19+'DÍA 30'!C19</f>
        <v>0</v>
      </c>
      <c r="D17" s="19">
        <f>'DÍA 1'!F19+'DÍA 2'!F19+'DÍA 3'!F19+'DÍA 4'!F19+'DÍA 5'!F19+'DÍA 6'!F19+'DÍA 7'!F19+'DÍA 8'!F19+'DÍA 9'!F19+'DÍA 10'!F19+'DÍA 11'!F19+'DÍA 12'!F19+'DÍA 13'!F19+'DÍA 14'!F19+'DÍA 15'!E19+'DÍA 16'!E19+'DÍA 17'!E19+'DÍA 18'!E19+'DÍA 19'!E19+'DÍA 20'!E19+'DÍA 21'!E19+'DÍA 22'!E19+'DÍA 23'!E19+'DÍA 24'!E19+'DÍA 25'!E19+'DÍA 26'!E19+'DÍA 27'!E19+'DÍA 28'!E19+'DÍA 29'!E19+'DÍA 30'!E19</f>
        <v>0</v>
      </c>
      <c r="E17" s="104">
        <f t="shared" si="0"/>
        <v>0</v>
      </c>
    </row>
    <row r="18" spans="2:8" x14ac:dyDescent="0.2">
      <c r="B18" s="10" t="s">
        <v>21</v>
      </c>
      <c r="C18" s="19">
        <f>'DÍA 1'!C20+'DÍA 2'!C20+'DÍA 3'!C20+'DÍA 4'!C20+'DÍA 5'!C20+'DÍA 6'!C20+'DÍA 7'!C20+'DÍA 8'!C20+'DÍA 9'!C20+'DÍA 10'!C20+'DÍA 11'!C20+'DÍA 12'!C20+'DÍA 13'!C20+'DÍA 14'!C20+'DÍA 15'!C20+'DÍA 16'!C20+'DÍA 17'!C20+'DÍA 18'!C20+'DÍA 19'!C20+'DÍA 20'!C20+'DÍA 21'!C20+'DÍA 22'!C20+'DÍA 23'!C20+'DÍA 24'!C20+'DÍA 25'!C20+'DÍA 26'!C20+'DÍA 27'!C20+'DÍA 28'!C20+'DÍA 29'!C20+'DÍA 30'!C20</f>
        <v>0</v>
      </c>
      <c r="D18" s="19">
        <f>'DÍA 1'!F20+'DÍA 2'!F20+'DÍA 3'!F20+'DÍA 4'!F20+'DÍA 5'!F20+'DÍA 6'!F20+'DÍA 7'!F20+'DÍA 8'!F20+'DÍA 9'!F20+'DÍA 10'!F20+'DÍA 11'!F20+'DÍA 12'!F20+'DÍA 13'!F20+'DÍA 14'!F20+'DÍA 15'!E20+'DÍA 16'!E20+'DÍA 17'!E20+'DÍA 18'!E20+'DÍA 19'!E20+'DÍA 20'!E20+'DÍA 21'!E20+'DÍA 22'!E20+'DÍA 23'!E20+'DÍA 24'!E20+'DÍA 25'!E20+'DÍA 26'!E20+'DÍA 27'!E20+'DÍA 28'!E20+'DÍA 29'!E20+'DÍA 30'!E20</f>
        <v>100</v>
      </c>
      <c r="E18" s="105">
        <f t="shared" si="0"/>
        <v>6.475093204002573E-2</v>
      </c>
    </row>
    <row r="19" spans="2:8" x14ac:dyDescent="0.2">
      <c r="B19" s="106" t="s">
        <v>22</v>
      </c>
      <c r="C19" s="19">
        <f>'DÍA 1'!C21+'DÍA 2'!C21+'DÍA 3'!C21+'DÍA 4'!C21+'DÍA 5'!C21+'DÍA 6'!C21+'DÍA 7'!C21+'DÍA 8'!C21+'DÍA 9'!C21+'DÍA 10'!C21+'DÍA 11'!C21+'DÍA 12'!C21+'DÍA 13'!C21+'DÍA 14'!C21+'DÍA 15'!C21+'DÍA 16'!C21+'DÍA 17'!C21+'DÍA 18'!C21+'DÍA 19'!C21+'DÍA 20'!C21+'DÍA 21'!C21+'DÍA 22'!C21+'DÍA 23'!C21+'DÍA 24'!C21+'DÍA 25'!C21+'DÍA 26'!C21+'DÍA 27'!C21+'DÍA 28'!C21+'DÍA 29'!C21+'DÍA 30'!C21</f>
        <v>0</v>
      </c>
      <c r="D19" s="19">
        <f>'DÍA 1'!F21+'DÍA 2'!F21+'DÍA 3'!F21+'DÍA 4'!F21+'DÍA 5'!F21+'DÍA 6'!F21+'DÍA 7'!F21+'DÍA 8'!F21+'DÍA 9'!F21+'DÍA 10'!F21+'DÍA 11'!F21+'DÍA 12'!F21+'DÍA 13'!F21+'DÍA 14'!F21+'DÍA 15'!E21+'DÍA 16'!E21+'DÍA 17'!E21+'DÍA 18'!E21+'DÍA 19'!E21+'DÍA 20'!E21+'DÍA 21'!E21+'DÍA 22'!E21+'DÍA 23'!E21+'DÍA 24'!E21+'DÍA 25'!E21+'DÍA 26'!E21+'DÍA 27'!E21+'DÍA 28'!E21+'DÍA 29'!E21+'DÍA 30'!E21</f>
        <v>0</v>
      </c>
      <c r="E19" s="104">
        <f t="shared" si="0"/>
        <v>0</v>
      </c>
    </row>
    <row r="20" spans="2:8" x14ac:dyDescent="0.2">
      <c r="B20" s="106" t="s">
        <v>23</v>
      </c>
      <c r="C20" s="19">
        <f>'DÍA 1'!C22+'DÍA 2'!C22+'DÍA 3'!C22+'DÍA 4'!C22+'DÍA 5'!C22+'DÍA 6'!C22+'DÍA 7'!C22+'DÍA 8'!C22+'DÍA 9'!C22+'DÍA 10'!C22+'DÍA 11'!C22+'DÍA 12'!C22+'DÍA 13'!C22+'DÍA 14'!C22+'DÍA 15'!C22+'DÍA 16'!C22+'DÍA 17'!C22+'DÍA 18'!C22+'DÍA 19'!C22+'DÍA 20'!C22+'DÍA 21'!C22+'DÍA 22'!C22+'DÍA 23'!C22+'DÍA 24'!C22+'DÍA 25'!C22+'DÍA 26'!C22+'DÍA 27'!C22+'DÍA 28'!C22+'DÍA 29'!C22+'DÍA 30'!C22</f>
        <v>0</v>
      </c>
      <c r="D20" s="19">
        <f>'DÍA 1'!F22+'DÍA 2'!F22+'DÍA 3'!F22+'DÍA 4'!F22+'DÍA 5'!F22+'DÍA 6'!F22+'DÍA 7'!F22+'DÍA 8'!F22+'DÍA 9'!F22+'DÍA 10'!F22+'DÍA 11'!F22+'DÍA 12'!F22+'DÍA 13'!F22+'DÍA 14'!F22+'DÍA 15'!E22+'DÍA 16'!E22+'DÍA 17'!E22+'DÍA 18'!E22+'DÍA 19'!E22+'DÍA 20'!E22+'DÍA 21'!E22+'DÍA 22'!E22+'DÍA 23'!E22+'DÍA 24'!E22+'DÍA 25'!E22+'DÍA 26'!E22+'DÍA 27'!E22+'DÍA 28'!E22+'DÍA 29'!E22+'DÍA 30'!E22</f>
        <v>0</v>
      </c>
      <c r="E20" s="104">
        <f t="shared" si="0"/>
        <v>0</v>
      </c>
    </row>
    <row r="21" spans="2:8" x14ac:dyDescent="0.2">
      <c r="B21" s="106" t="s">
        <v>24</v>
      </c>
      <c r="C21" s="19">
        <f>'DÍA 1'!C23+'DÍA 2'!C23+'DÍA 3'!C23+'DÍA 4'!C23+'DÍA 5'!C23+'DÍA 6'!C23+'DÍA 7'!C23+'DÍA 8'!C23+'DÍA 9'!C23+'DÍA 10'!C23+'DÍA 11'!C23+'DÍA 12'!C23+'DÍA 13'!C23+'DÍA 14'!C23+'DÍA 15'!C23+'DÍA 16'!C23+'DÍA 17'!C23+'DÍA 18'!C23+'DÍA 19'!C23+'DÍA 20'!C23+'DÍA 21'!C23+'DÍA 22'!C23+'DÍA 23'!C23+'DÍA 24'!C23+'DÍA 25'!C23+'DÍA 26'!C23+'DÍA 27'!C23+'DÍA 28'!C23+'DÍA 29'!C23+'DÍA 30'!C23</f>
        <v>0</v>
      </c>
      <c r="D21" s="19">
        <f>'DÍA 1'!F23+'DÍA 2'!F23+'DÍA 3'!F23+'DÍA 4'!F23+'DÍA 5'!F23+'DÍA 6'!F23+'DÍA 7'!F23+'DÍA 8'!F23+'DÍA 9'!F23+'DÍA 10'!F23+'DÍA 11'!F23+'DÍA 12'!F23+'DÍA 13'!F23+'DÍA 14'!F23+'DÍA 15'!E23+'DÍA 16'!E23+'DÍA 17'!E23+'DÍA 18'!E23+'DÍA 19'!E23+'DÍA 20'!E23+'DÍA 21'!E23+'DÍA 22'!E23+'DÍA 23'!E23+'DÍA 24'!E23+'DÍA 25'!E23+'DÍA 26'!E23+'DÍA 27'!E23+'DÍA 28'!E23+'DÍA 29'!E23+'DÍA 30'!E23</f>
        <v>0</v>
      </c>
      <c r="E21" s="104">
        <f t="shared" si="0"/>
        <v>0</v>
      </c>
    </row>
    <row r="22" spans="2:8" x14ac:dyDescent="0.2">
      <c r="B22" s="10" t="s">
        <v>25</v>
      </c>
      <c r="C22" s="19">
        <f>'DÍA 1'!C24+'DÍA 2'!C24+'DÍA 3'!C24+'DÍA 4'!C24+'DÍA 5'!C24+'DÍA 6'!C24+'DÍA 7'!C24+'DÍA 8'!C24+'DÍA 9'!C24+'DÍA 10'!C24+'DÍA 11'!C24+'DÍA 12'!C24+'DÍA 13'!C24+'DÍA 14'!C24+'DÍA 15'!C24+'DÍA 16'!C24+'DÍA 17'!C24+'DÍA 18'!C24+'DÍA 19'!C24+'DÍA 20'!C24+'DÍA 21'!C24+'DÍA 22'!C24+'DÍA 23'!C24+'DÍA 24'!C24+'DÍA 25'!C24+'DÍA 26'!C24+'DÍA 27'!C24+'DÍA 28'!C24+'DÍA 29'!C24+'DÍA 30'!C24</f>
        <v>0</v>
      </c>
      <c r="D22" s="19">
        <f>'DÍA 1'!F24+'DÍA 2'!F24+'DÍA 3'!F24+'DÍA 4'!F24+'DÍA 5'!F24+'DÍA 6'!F24+'DÍA 7'!F24+'DÍA 8'!F24+'DÍA 9'!F24+'DÍA 10'!F24+'DÍA 11'!F24+'DÍA 12'!F24+'DÍA 13'!F24+'DÍA 14'!F24+'DÍA 15'!E24+'DÍA 16'!E24+'DÍA 17'!E24+'DÍA 18'!E24+'DÍA 19'!E24+'DÍA 20'!E24+'DÍA 21'!E24+'DÍA 22'!E24+'DÍA 23'!E24+'DÍA 24'!E24+'DÍA 25'!E24+'DÍA 26'!E24+'DÍA 27'!E24+'DÍA 28'!E24+'DÍA 29'!E24+'DÍA 30'!E24</f>
        <v>0</v>
      </c>
      <c r="E22" s="104">
        <f t="shared" si="0"/>
        <v>0</v>
      </c>
    </row>
    <row r="23" spans="2:8" x14ac:dyDescent="0.2">
      <c r="B23" s="10" t="s">
        <v>26</v>
      </c>
      <c r="C23" s="19">
        <f>'DÍA 1'!C25+'DÍA 2'!C25+'DÍA 3'!C25+'DÍA 4'!C25+'DÍA 5'!C25+'DÍA 6'!C25+'DÍA 7'!C25+'DÍA 8'!C25+'DÍA 9'!C25+'DÍA 10'!C25+'DÍA 11'!C25+'DÍA 12'!C25+'DÍA 13'!C25+'DÍA 14'!C25+'DÍA 15'!C25+'DÍA 16'!C25+'DÍA 17'!C25+'DÍA 18'!C25+'DÍA 19'!C25+'DÍA 20'!C25+'DÍA 21'!C25+'DÍA 22'!C25+'DÍA 23'!C25+'DÍA 24'!C25+'DÍA 25'!C25+'DÍA 26'!C25+'DÍA 27'!C25+'DÍA 28'!C25+'DÍA 29'!C25+'DÍA 30'!C25</f>
        <v>0</v>
      </c>
      <c r="D23" s="19">
        <f>'DÍA 1'!F25+'DÍA 2'!F25+'DÍA 3'!F25+'DÍA 4'!F25+'DÍA 5'!F25+'DÍA 6'!F25+'DÍA 7'!F25+'DÍA 8'!F25+'DÍA 9'!F25+'DÍA 10'!F25+'DÍA 11'!F25+'DÍA 12'!F25+'DÍA 13'!F25+'DÍA 14'!F25+'DÍA 15'!E25+'DÍA 16'!E25+'DÍA 17'!E25+'DÍA 18'!E25+'DÍA 19'!E25+'DÍA 20'!E25+'DÍA 21'!E25+'DÍA 22'!E25+'DÍA 23'!E25+'DÍA 24'!E25+'DÍA 25'!E25+'DÍA 26'!E25+'DÍA 27'!E25+'DÍA 28'!E25+'DÍA 29'!E25+'DÍA 30'!E25</f>
        <v>0</v>
      </c>
      <c r="E23" s="104">
        <f t="shared" si="0"/>
        <v>0</v>
      </c>
      <c r="H23">
        <f>'DÍA 1'!C27+'DÍA 2'!C27+'DÍA 3'!C27+'DÍA 4'!C27+'DÍA 5'!C27+'DÍA 6'!C27+'DÍA 7'!C27+'DÍA 8'!C27+'DÍA 9'!C27+'DÍA 10'!C27+'DÍA 11'!C27+'DÍA 12'!C27+'DÍA 13'!C27+'DÍA 14'!C27+'DÍA 15'!C27+'DÍA 16'!C27+'DÍA 17'!C27+'DÍA 18'!C27+'DÍA 19'!C27+'DÍA 20'!C27+'DÍA 21'!C27+'DÍA 22'!C27+'DÍA 23'!C26+'DÍA 24'!C26+'DÍA 25'!C26+'DÍA 26'!C26+'DÍA 27'!C26+'DÍA 28'!C26+'DÍA 29'!C26+'DÍA 30'!C26</f>
        <v>0</v>
      </c>
    </row>
    <row r="24" spans="2:8" x14ac:dyDescent="0.2">
      <c r="B24" s="10" t="s">
        <v>27</v>
      </c>
      <c r="C24" s="19">
        <f>'DÍA 1'!C26+'DÍA 2'!C26+'DÍA 3'!C26+'DÍA 4'!C26+'DÍA 5'!C26+'DÍA 6'!C26+'DÍA 7'!C26+'DÍA 8'!C26+'DÍA 9'!C26+'DÍA 10'!C26+'DÍA 11'!C26+'DÍA 12'!C26+'DÍA 13'!C26+'DÍA 14'!C26+'DÍA 15'!C26+'DÍA 16'!C26+'DÍA 17'!C26+'DÍA 18'!C26+'DÍA 19'!C26+'DÍA 20'!C26+'DÍA 21'!C26+'DÍA 22'!C26+'DÍA 23'!C26+'DÍA 24'!C26+'DÍA 25'!C26+'DÍA 26'!C26+'DÍA 27'!C26+'DÍA 28'!C26+'DÍA 29'!C26+'DÍA 30'!C26</f>
        <v>951</v>
      </c>
      <c r="D24" s="19">
        <f>'DÍA 1'!F26+'DÍA 2'!F26+'DÍA 3'!F26+'DÍA 4'!F26+'DÍA 5'!F26+'DÍA 6'!F26+'DÍA 7'!F26+'DÍA 8'!F26+'DÍA 9'!F26+'DÍA 10'!F26+'DÍA 11'!F26+'DÍA 12'!F26+'DÍA 13'!F26+'DÍA 14'!F26+'DÍA 15'!E26+'DÍA 16'!E26+'DÍA 17'!E26+'DÍA 18'!E26+'DÍA 19'!E26+'DÍA 20'!E26+'DÍA 21'!E26+'DÍA 22'!E26+'DÍA 23'!E26+'DÍA 24'!E26+'DÍA 25'!E26+'DÍA 26'!E26+'DÍA 27'!E26+'DÍA 28'!E26+'DÍA 29'!E26+'DÍA 30'!E26</f>
        <v>1.7952560646900271</v>
      </c>
      <c r="E24" s="104">
        <f t="shared" si="0"/>
        <v>1.1624450343918798E-3</v>
      </c>
    </row>
    <row r="25" spans="2:8" x14ac:dyDescent="0.2">
      <c r="B25" s="10" t="s">
        <v>28</v>
      </c>
      <c r="C25" s="19">
        <f>'DÍA 1'!C27+'DÍA 2'!C27+'DÍA 3'!C27+'DÍA 4'!C27+'DÍA 5'!C27+'DÍA 6'!C27+'DÍA 7'!C27+'DÍA 8'!C27+'DÍA 9'!C27+'DÍA 10'!C27+'DÍA 11'!C27+'DÍA 12'!C27+'DÍA 13'!C27+'DÍA 14'!C27+'DÍA 15'!C27+'DÍA 16'!C27+'DÍA 17'!C27+'DÍA 18'!C27+'DÍA 19'!C27+'DÍA 20'!C27+'DÍA 21'!C27+'DÍA 22'!C27+'DÍA 23'!C27+'DÍA 24'!C27+'DÍA 25'!C27+'DÍA 26'!C27+'DÍA 27'!C27+'DÍA 28'!C27+'DÍA 29'!C27+'DÍA 30'!C27</f>
        <v>0</v>
      </c>
      <c r="D25" s="19">
        <f>'DÍA 1'!F27+'DÍA 2'!F27+'DÍA 3'!F27+'DÍA 4'!F27+'DÍA 5'!F27+'DÍA 6'!F27+'DÍA 7'!F27+'DÍA 8'!F27+'DÍA 9'!F27+'DÍA 10'!F27+'DÍA 11'!F27+'DÍA 12'!F27+'DÍA 13'!F27+'DÍA 14'!F27+'DÍA 15'!E27+'DÍA 16'!E27+'DÍA 17'!E27+'DÍA 18'!E27+'DÍA 19'!E27+'DÍA 20'!E27+'DÍA 21'!E27+'DÍA 22'!E27+'DÍA 23'!E27+'DÍA 24'!E27+'DÍA 25'!E27+'DÍA 26'!E27+'DÍA 27'!E27+'DÍA 28'!E27+'DÍA 29'!E27+'DÍA 30'!E27</f>
        <v>0</v>
      </c>
      <c r="E25" s="104">
        <f t="shared" si="0"/>
        <v>0</v>
      </c>
    </row>
    <row r="26" spans="2:8" x14ac:dyDescent="0.2">
      <c r="B26" s="10" t="s">
        <v>135</v>
      </c>
      <c r="C26" s="19">
        <f>'DÍA 1'!C28+'DÍA 2'!C28+'DÍA 3'!C28+'DÍA 4'!C28+'DÍA 5'!C28+'DÍA 6'!C28+'DÍA 7'!C28+'DÍA 8'!C28+'DÍA 9'!C28+'DÍA 10'!C28+'DÍA 11'!C28+'DÍA 12'!C28+'DÍA 13'!C28+'DÍA 14'!C28+'DÍA 15'!C28+'DÍA 16'!C28+'DÍA 17'!C28+'DÍA 18'!C28+'DÍA 19'!C28+'DÍA 20'!C28+'DÍA 21'!C28+'DÍA 22'!C28+'DÍA 23'!C28+'DÍA 24'!C28+'DÍA 25'!C28+'DÍA 26'!C28+'DÍA 27'!C28+'DÍA 28'!C28+'DÍA 29'!C28+'DÍA 30'!C28</f>
        <v>1500</v>
      </c>
      <c r="D26" s="19">
        <f>'DÍA 1'!F28+'DÍA 2'!F28+'DÍA 3'!F28+'DÍA 4'!F28+'DÍA 5'!F28+'DÍA 6'!F28+'DÍA 7'!F28+'DÍA 8'!F28+'DÍA 9'!F28+'DÍA 10'!F28+'DÍA 11'!F28+'DÍA 12'!F28+'DÍA 13'!F28+'DÍA 14'!F28+'DÍA 15'!E28+'DÍA 16'!E28+'DÍA 17'!E28+'DÍA 18'!E28+'DÍA 19'!E28+'DÍA 20'!E28+'DÍA 21'!E28+'DÍA 22'!E28+'DÍA 23'!E28+'DÍA 24'!E28+'DÍA 25'!E28+'DÍA 26'!E28+'DÍA 27'!E28+'DÍA 28'!E28+'DÍA 29'!E28+'DÍA 30'!E28</f>
        <v>2.8391734052111408</v>
      </c>
      <c r="E26" s="104">
        <f t="shared" si="0"/>
        <v>1.83839124210675E-3</v>
      </c>
    </row>
    <row r="27" spans="2:8" x14ac:dyDescent="0.2">
      <c r="B27" s="10" t="s">
        <v>30</v>
      </c>
      <c r="C27" s="19">
        <f>'DÍA 1'!C29+'DÍA 2'!C29+'DÍA 3'!C29+'DÍA 4'!C29+'DÍA 5'!C29+'DÍA 6'!C29+'DÍA 7'!C29+'DÍA 8'!C29+'DÍA 9'!C29+'DÍA 10'!C29+'DÍA 11'!C29+'DÍA 12'!C29+'DÍA 13'!C29+'DÍA 14'!C29+'DÍA 15'!C29+'DÍA 16'!C29+'DÍA 17'!C29+'DÍA 18'!C29+'DÍA 19'!C29+'DÍA 20'!C29+'DÍA 21'!C29+'DÍA 22'!C29+'DÍA 23'!C29+'DÍA 24'!C29+'DÍA 25'!C29+'DÍA 26'!C29+'DÍA 27'!C29+'DÍA 28'!C29+'DÍA 29'!C29+'DÍA 30'!C29</f>
        <v>1700</v>
      </c>
      <c r="D27" s="19">
        <f>'DÍA 1'!F29+'DÍA 2'!F29+'DÍA 3'!F29+'DÍA 4'!F29+'DÍA 5'!F29+'DÍA 6'!F29+'DÍA 7'!F29+'DÍA 8'!F29+'DÍA 9'!F29+'DÍA 10'!F29+'DÍA 11'!F29+'DÍA 12'!F29+'DÍA 13'!F29+'DÍA 14'!F29+'DÍA 15'!E29+'DÍA 16'!E29+'DÍA 17'!E29+'DÍA 18'!E29+'DÍA 19'!E29+'DÍA 20'!E29+'DÍA 21'!E29+'DÍA 22'!E29+'DÍA 23'!E29+'DÍA 24'!E29+'DÍA 25'!E29+'DÍA 26'!E29+'DÍA 27'!E29+'DÍA 28'!E29+'DÍA 29'!E29+'DÍA 30'!E29</f>
        <v>139.23809523809524</v>
      </c>
      <c r="E27" s="104">
        <f t="shared" si="0"/>
        <v>9.0157964421445344E-2</v>
      </c>
    </row>
    <row r="28" spans="2:8" x14ac:dyDescent="0.2">
      <c r="B28" s="10" t="s">
        <v>130</v>
      </c>
      <c r="C28" s="19">
        <f>'DÍA 14'!C59</f>
        <v>30044.909999999996</v>
      </c>
      <c r="D28" s="19">
        <f>'DÍA 14'!D59</f>
        <v>57.228399999999993</v>
      </c>
      <c r="E28" s="104">
        <f t="shared" si="0"/>
        <v>3.7055922391594082E-2</v>
      </c>
    </row>
    <row r="29" spans="2:8" x14ac:dyDescent="0.2">
      <c r="B29" s="13" t="s">
        <v>31</v>
      </c>
      <c r="C29" s="26">
        <f>SUM(C8:C10)+C14+C15+C16+C17+C18+C22+C23+C24+C25+C26+C27+C28</f>
        <v>140455.91</v>
      </c>
      <c r="D29" s="26">
        <f>SUM(D8:D10)+D14+D15+D16+D17+D18+D22+D23+D24+D25+D26+D27</f>
        <v>1544.3793139253207</v>
      </c>
      <c r="E29" s="105">
        <f t="shared" si="0"/>
        <v>1</v>
      </c>
    </row>
    <row r="30" spans="2:8" x14ac:dyDescent="0.2">
      <c r="B30" s="13" t="s">
        <v>131</v>
      </c>
      <c r="C30" s="26">
        <f>C6-C29</f>
        <v>4889486.6899999995</v>
      </c>
      <c r="D30" s="26">
        <f>D6-D29</f>
        <v>8060.359775296547</v>
      </c>
    </row>
    <row r="33" spans="2:3" x14ac:dyDescent="0.2">
      <c r="B33" s="108" t="s">
        <v>132</v>
      </c>
      <c r="C33" s="19">
        <f>+D10/D6</f>
        <v>6.4551467170591258E-3</v>
      </c>
    </row>
    <row r="34" spans="2:3" x14ac:dyDescent="0.2">
      <c r="B34" s="13" t="s">
        <v>133</v>
      </c>
      <c r="C34" s="19">
        <f>+D29/D6</f>
        <v>0.16079346868030742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C3:K34"/>
  <sheetViews>
    <sheetView workbookViewId="0">
      <selection activeCell="H22" sqref="H22"/>
    </sheetView>
  </sheetViews>
  <sheetFormatPr baseColWidth="10" defaultColWidth="8.83203125" defaultRowHeight="15" x14ac:dyDescent="0.2"/>
  <sheetData>
    <row r="3" spans="3:6" x14ac:dyDescent="0.2">
      <c r="C3">
        <v>1</v>
      </c>
      <c r="D3">
        <v>169</v>
      </c>
      <c r="E3">
        <v>515</v>
      </c>
      <c r="F3">
        <f>D3*E3</f>
        <v>87035</v>
      </c>
    </row>
    <row r="4" spans="3:6" x14ac:dyDescent="0.2">
      <c r="C4">
        <v>2</v>
      </c>
    </row>
    <row r="5" spans="3:6" x14ac:dyDescent="0.2">
      <c r="C5">
        <v>3</v>
      </c>
      <c r="D5">
        <v>727</v>
      </c>
      <c r="E5">
        <v>517</v>
      </c>
      <c r="F5">
        <f>D5*E5</f>
        <v>375859</v>
      </c>
    </row>
    <row r="6" spans="3:6" x14ac:dyDescent="0.2">
      <c r="C6">
        <v>4</v>
      </c>
      <c r="D6">
        <v>205</v>
      </c>
      <c r="E6">
        <v>518</v>
      </c>
      <c r="F6">
        <f t="shared" ref="F6:F32" si="0">D6*E6</f>
        <v>106190</v>
      </c>
    </row>
    <row r="7" spans="3:6" x14ac:dyDescent="0.2">
      <c r="C7">
        <v>5</v>
      </c>
      <c r="D7">
        <v>593</v>
      </c>
      <c r="E7">
        <v>518</v>
      </c>
      <c r="F7">
        <f t="shared" si="0"/>
        <v>307174</v>
      </c>
    </row>
    <row r="8" spans="3:6" x14ac:dyDescent="0.2">
      <c r="C8">
        <v>6</v>
      </c>
      <c r="D8">
        <v>90</v>
      </c>
      <c r="E8">
        <v>518</v>
      </c>
      <c r="F8">
        <f t="shared" si="0"/>
        <v>46620</v>
      </c>
    </row>
    <row r="9" spans="3:6" x14ac:dyDescent="0.2">
      <c r="C9">
        <v>7</v>
      </c>
      <c r="D9">
        <v>47</v>
      </c>
      <c r="E9">
        <v>520</v>
      </c>
      <c r="F9">
        <f t="shared" si="0"/>
        <v>24440</v>
      </c>
    </row>
    <row r="10" spans="3:6" x14ac:dyDescent="0.2">
      <c r="C10">
        <v>8</v>
      </c>
      <c r="D10">
        <v>178</v>
      </c>
      <c r="E10">
        <v>520</v>
      </c>
      <c r="F10">
        <f t="shared" si="0"/>
        <v>92560</v>
      </c>
    </row>
    <row r="11" spans="3:6" x14ac:dyDescent="0.2">
      <c r="C11">
        <v>9</v>
      </c>
      <c r="D11">
        <v>103</v>
      </c>
      <c r="E11">
        <v>520</v>
      </c>
      <c r="F11">
        <f t="shared" si="0"/>
        <v>53560</v>
      </c>
    </row>
    <row r="12" spans="3:6" x14ac:dyDescent="0.2">
      <c r="C12">
        <v>10</v>
      </c>
      <c r="D12">
        <v>160</v>
      </c>
      <c r="E12">
        <v>520</v>
      </c>
      <c r="F12">
        <f t="shared" si="0"/>
        <v>83200</v>
      </c>
    </row>
    <row r="13" spans="3:6" x14ac:dyDescent="0.2">
      <c r="C13">
        <v>11</v>
      </c>
      <c r="D13">
        <v>293</v>
      </c>
      <c r="E13">
        <v>523</v>
      </c>
      <c r="F13">
        <f t="shared" si="0"/>
        <v>153239</v>
      </c>
    </row>
    <row r="14" spans="3:6" x14ac:dyDescent="0.2">
      <c r="C14">
        <v>12</v>
      </c>
      <c r="D14">
        <v>477</v>
      </c>
      <c r="E14">
        <v>523</v>
      </c>
      <c r="F14">
        <f t="shared" si="0"/>
        <v>249471</v>
      </c>
    </row>
    <row r="15" spans="3:6" x14ac:dyDescent="0.2">
      <c r="C15">
        <v>13</v>
      </c>
      <c r="D15">
        <v>235.8</v>
      </c>
      <c r="E15">
        <v>523</v>
      </c>
      <c r="F15">
        <f t="shared" si="0"/>
        <v>123323.40000000001</v>
      </c>
    </row>
    <row r="16" spans="3:6" x14ac:dyDescent="0.2">
      <c r="C16">
        <v>14</v>
      </c>
      <c r="D16">
        <v>135</v>
      </c>
      <c r="E16">
        <v>525</v>
      </c>
      <c r="F16">
        <f t="shared" si="0"/>
        <v>70875</v>
      </c>
    </row>
    <row r="17" spans="3:11" x14ac:dyDescent="0.2">
      <c r="C17">
        <v>15</v>
      </c>
      <c r="D17">
        <v>283</v>
      </c>
      <c r="E17">
        <v>525</v>
      </c>
      <c r="F17">
        <f t="shared" si="0"/>
        <v>148575</v>
      </c>
    </row>
    <row r="18" spans="3:11" x14ac:dyDescent="0.2">
      <c r="C18">
        <v>16</v>
      </c>
      <c r="D18">
        <v>261</v>
      </c>
      <c r="E18">
        <v>525</v>
      </c>
      <c r="F18">
        <f t="shared" si="0"/>
        <v>137025</v>
      </c>
    </row>
    <row r="19" spans="3:11" x14ac:dyDescent="0.2">
      <c r="C19">
        <v>17</v>
      </c>
      <c r="D19">
        <v>460</v>
      </c>
      <c r="E19">
        <v>525</v>
      </c>
      <c r="F19">
        <f t="shared" si="0"/>
        <v>241500</v>
      </c>
    </row>
    <row r="20" spans="3:11" x14ac:dyDescent="0.2">
      <c r="C20">
        <v>18</v>
      </c>
      <c r="D20">
        <v>825</v>
      </c>
      <c r="E20">
        <v>525</v>
      </c>
      <c r="F20">
        <f t="shared" si="0"/>
        <v>433125</v>
      </c>
    </row>
    <row r="21" spans="3:11" x14ac:dyDescent="0.2">
      <c r="C21">
        <v>19</v>
      </c>
      <c r="D21">
        <v>256</v>
      </c>
      <c r="E21">
        <v>525</v>
      </c>
      <c r="F21">
        <f t="shared" si="0"/>
        <v>134400</v>
      </c>
    </row>
    <row r="22" spans="3:11" x14ac:dyDescent="0.2">
      <c r="C22">
        <v>20</v>
      </c>
      <c r="D22">
        <v>83</v>
      </c>
      <c r="E22">
        <v>525</v>
      </c>
      <c r="F22">
        <f t="shared" si="0"/>
        <v>43575</v>
      </c>
    </row>
    <row r="23" spans="3:11" x14ac:dyDescent="0.2">
      <c r="C23">
        <v>21</v>
      </c>
      <c r="D23">
        <v>160</v>
      </c>
      <c r="E23">
        <v>525</v>
      </c>
      <c r="F23">
        <f t="shared" si="0"/>
        <v>84000</v>
      </c>
    </row>
    <row r="24" spans="3:11" x14ac:dyDescent="0.2">
      <c r="C24">
        <v>22</v>
      </c>
      <c r="D24">
        <v>131</v>
      </c>
      <c r="E24">
        <v>530</v>
      </c>
      <c r="F24">
        <f t="shared" si="0"/>
        <v>69430</v>
      </c>
    </row>
    <row r="25" spans="3:11" x14ac:dyDescent="0.2">
      <c r="C25">
        <v>23</v>
      </c>
      <c r="D25">
        <v>146</v>
      </c>
      <c r="E25">
        <v>530</v>
      </c>
      <c r="F25">
        <f t="shared" si="0"/>
        <v>77380</v>
      </c>
    </row>
    <row r="26" spans="3:11" x14ac:dyDescent="0.2">
      <c r="C26">
        <v>24</v>
      </c>
      <c r="D26">
        <v>148</v>
      </c>
      <c r="E26">
        <v>530</v>
      </c>
      <c r="F26">
        <f t="shared" si="0"/>
        <v>78440</v>
      </c>
    </row>
    <row r="27" spans="3:11" x14ac:dyDescent="0.2">
      <c r="C27">
        <v>25</v>
      </c>
      <c r="D27">
        <v>638</v>
      </c>
      <c r="E27">
        <v>530</v>
      </c>
      <c r="F27">
        <f t="shared" si="0"/>
        <v>338140</v>
      </c>
      <c r="I27">
        <v>190834</v>
      </c>
      <c r="K27">
        <f>I27*0.1</f>
        <v>19083.400000000001</v>
      </c>
    </row>
    <row r="28" spans="3:11" x14ac:dyDescent="0.2">
      <c r="C28">
        <v>26</v>
      </c>
      <c r="D28">
        <v>25</v>
      </c>
      <c r="E28">
        <v>530</v>
      </c>
      <c r="F28">
        <f t="shared" si="0"/>
        <v>13250</v>
      </c>
      <c r="I28">
        <f>I27-3260</f>
        <v>187574</v>
      </c>
    </row>
    <row r="29" spans="3:11" x14ac:dyDescent="0.2">
      <c r="C29">
        <v>27</v>
      </c>
      <c r="D29">
        <v>675</v>
      </c>
      <c r="E29">
        <v>530</v>
      </c>
      <c r="F29">
        <f t="shared" si="0"/>
        <v>357750</v>
      </c>
      <c r="I29">
        <f>I28*0.05</f>
        <v>9378.7000000000007</v>
      </c>
    </row>
    <row r="30" spans="3:11" x14ac:dyDescent="0.2">
      <c r="C30">
        <v>28</v>
      </c>
      <c r="D30">
        <v>714</v>
      </c>
      <c r="E30">
        <v>530</v>
      </c>
      <c r="F30">
        <f t="shared" si="0"/>
        <v>378420</v>
      </c>
    </row>
    <row r="31" spans="3:11" x14ac:dyDescent="0.2">
      <c r="C31">
        <v>29</v>
      </c>
      <c r="D31">
        <v>161</v>
      </c>
      <c r="E31">
        <v>530</v>
      </c>
      <c r="F31">
        <f t="shared" si="0"/>
        <v>85330</v>
      </c>
    </row>
    <row r="32" spans="3:11" x14ac:dyDescent="0.2">
      <c r="C32">
        <v>30</v>
      </c>
      <c r="D32">
        <v>281</v>
      </c>
      <c r="E32">
        <v>533</v>
      </c>
      <c r="F32">
        <f t="shared" si="0"/>
        <v>149773</v>
      </c>
    </row>
    <row r="34" spans="6:9" x14ac:dyDescent="0.2">
      <c r="F34">
        <f>SUM(F3:F32)</f>
        <v>4543659.4000000004</v>
      </c>
      <c r="G34">
        <f>F34*0.042</f>
        <v>190833.69480000003</v>
      </c>
      <c r="I34">
        <f>G34*0.1</f>
        <v>19083.369480000005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34</vt:i4>
      </vt:variant>
    </vt:vector>
  </HeadingPairs>
  <TitlesOfParts>
    <vt:vector size="34" baseType="lpstr">
      <vt:lpstr>Ventas</vt:lpstr>
      <vt:lpstr>Salario</vt:lpstr>
      <vt:lpstr>DÍA 1</vt:lpstr>
      <vt:lpstr>DÍA 2</vt:lpstr>
      <vt:lpstr>DÍA 3</vt:lpstr>
      <vt:lpstr>DÍA 4</vt:lpstr>
      <vt:lpstr>DÍA 5</vt:lpstr>
      <vt:lpstr>DÍA 6</vt:lpstr>
      <vt:lpstr>DÍA 7</vt:lpstr>
      <vt:lpstr>DÍA 8</vt:lpstr>
      <vt:lpstr>DÍA 9</vt:lpstr>
      <vt:lpstr>DÍA 10</vt:lpstr>
      <vt:lpstr>DÍA 11</vt:lpstr>
      <vt:lpstr>DÍA 12</vt:lpstr>
      <vt:lpstr>DÍA 13</vt:lpstr>
      <vt:lpstr>DÍA 14</vt:lpstr>
      <vt:lpstr>DÍA 15</vt:lpstr>
      <vt:lpstr>DÍA 16</vt:lpstr>
      <vt:lpstr>DÍA 17</vt:lpstr>
      <vt:lpstr>DÍA 18</vt:lpstr>
      <vt:lpstr>DÍA 19</vt:lpstr>
      <vt:lpstr>DÍA 20</vt:lpstr>
      <vt:lpstr>DÍA 21</vt:lpstr>
      <vt:lpstr>DÍA 22</vt:lpstr>
      <vt:lpstr>DÍA 23</vt:lpstr>
      <vt:lpstr>DÍA 24</vt:lpstr>
      <vt:lpstr>DÍA 25</vt:lpstr>
      <vt:lpstr>DÍA 26</vt:lpstr>
      <vt:lpstr>DÍA 27</vt:lpstr>
      <vt:lpstr>DÍA 28</vt:lpstr>
      <vt:lpstr>DÍA 29</vt:lpstr>
      <vt:lpstr>DÍA 30</vt:lpstr>
      <vt:lpstr>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Yuniesky Arévalo</dc:creator>
  <cp:lastModifiedBy>Letty</cp:lastModifiedBy>
  <dcterms:created xsi:type="dcterms:W3CDTF">2026-04-26T23:20:36Z</dcterms:created>
  <dcterms:modified xsi:type="dcterms:W3CDTF">2026-06-04T10:19:11Z</dcterms:modified>
</cp:coreProperties>
</file>