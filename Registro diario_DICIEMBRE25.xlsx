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2580" tabRatio="605" firstSheet="23" activeTab="25"/>
  </bookViews>
  <sheets>
    <sheet name="Leyenda" sheetId="34" r:id="rId1"/>
    <sheet name="Ventas" sheetId="3" r:id="rId2"/>
    <sheet name="Salario" sheetId="35" r:id="rId3"/>
    <sheet name="Dia 1" sheetId="1" r:id="rId4"/>
    <sheet name="Dia 2" sheetId="4" r:id="rId5"/>
    <sheet name="Dia 3" sheetId="5" r:id="rId6"/>
    <sheet name="Dia 4" sheetId="6" r:id="rId7"/>
    <sheet name="Dia 5" sheetId="7" r:id="rId8"/>
    <sheet name="Dia 6" sheetId="8" r:id="rId9"/>
    <sheet name="Dia 7" sheetId="9" r:id="rId10"/>
    <sheet name="Dia 8" sheetId="10" r:id="rId11"/>
    <sheet name="Dia 9" sheetId="11" r:id="rId12"/>
    <sheet name="Dia 10" sheetId="12" r:id="rId13"/>
    <sheet name="Dia 11" sheetId="13" r:id="rId14"/>
    <sheet name="Dia 12" sheetId="14" r:id="rId15"/>
    <sheet name="Dia 13" sheetId="15" r:id="rId16"/>
    <sheet name="Dia 14" sheetId="16" r:id="rId17"/>
    <sheet name="Dia 15" sheetId="17" r:id="rId18"/>
    <sheet name="Dia 16" sheetId="18" r:id="rId19"/>
    <sheet name="Dia 17" sheetId="19" r:id="rId20"/>
    <sheet name="Dia 18" sheetId="20" r:id="rId21"/>
    <sheet name="Dia 19" sheetId="21" r:id="rId22"/>
    <sheet name="Dia 20" sheetId="22" r:id="rId23"/>
    <sheet name="Dia 21" sheetId="23" r:id="rId24"/>
    <sheet name="Dia 22" sheetId="24" r:id="rId25"/>
    <sheet name="Dia 23" sheetId="25" r:id="rId26"/>
    <sheet name="Dia 24" sheetId="26" r:id="rId27"/>
    <sheet name="Dia 25" sheetId="27" r:id="rId28"/>
    <sheet name="Dia 26" sheetId="28" r:id="rId29"/>
    <sheet name="Dia 27" sheetId="29" r:id="rId30"/>
    <sheet name="Dia 28" sheetId="30" r:id="rId31"/>
    <sheet name="Dia 29" sheetId="31" r:id="rId32"/>
    <sheet name="Dia 30" sheetId="32" r:id="rId33"/>
    <sheet name="Dia 31" sheetId="33" r:id="rId34"/>
    <sheet name="Mes" sheetId="2" r:id="rId35"/>
  </sheets>
  <calcPr calcId="144525"/>
</workbook>
</file>

<file path=xl/sharedStrings.xml><?xml version="1.0" encoding="utf-8"?>
<sst xmlns="http://schemas.openxmlformats.org/spreadsheetml/2006/main" count="1306" uniqueCount="141">
  <si>
    <t>LEYENDA</t>
  </si>
  <si>
    <t>GASTOS</t>
  </si>
  <si>
    <t xml:space="preserve">CONCEPTOS </t>
  </si>
  <si>
    <t>Salario</t>
  </si>
  <si>
    <t>serán los gastos de salario en los que se incurre en el día</t>
  </si>
  <si>
    <t>Renta</t>
  </si>
  <si>
    <t>alquiler del espacio se registrará el día que se ejecute el gasto</t>
  </si>
  <si>
    <t>Compras</t>
  </si>
  <si>
    <t xml:space="preserve">compra de mercancias  para la venta </t>
  </si>
  <si>
    <t>Electricidad</t>
  </si>
  <si>
    <t>monto de la factura pagada</t>
  </si>
  <si>
    <t xml:space="preserve">Gas </t>
  </si>
  <si>
    <t>Transporte</t>
  </si>
  <si>
    <t>servicios de transportación de mercancía, mensajeria y servicios de taxi que sean a cuenta del  negocio</t>
  </si>
  <si>
    <t>Pantry</t>
  </si>
  <si>
    <t>gastos de café, agua, jugos u otros</t>
  </si>
  <si>
    <t>Comunicaciones</t>
  </si>
  <si>
    <t>gastos de internet, recargas del móvil asociadas al funcionamiento del negocio, nauta, etc.</t>
  </si>
  <si>
    <t>Publicidad</t>
  </si>
  <si>
    <t>gastos asociados a la publicidad y promoción del negocio,  modelos, trabajo en redes u otros asociados</t>
  </si>
  <si>
    <t>Insumos de Limpieza</t>
  </si>
  <si>
    <t>material e insumos de limpieza asociados al funcionamiento del negocio</t>
  </si>
  <si>
    <t>Mantenimiento</t>
  </si>
  <si>
    <t>gastos de mantenimiento y reparacion del local, reposición de luces, pintura, gastos de plomería ect.</t>
  </si>
  <si>
    <t>Insumos para la tienda</t>
  </si>
  <si>
    <t>insumos asociados a los embases y embalajes, bolsas , etiquetas,  jabas de nylon, asi como papel para la impresora, toner, etc.</t>
  </si>
  <si>
    <t>Servicios contables</t>
  </si>
  <si>
    <t>pago al tenedor de libros o contador</t>
  </si>
  <si>
    <t>Otros servicios comprados</t>
  </si>
  <si>
    <t>pagos de otros servicios, por ejemplo: combustible, asesorías, trabajos profesionales</t>
  </si>
  <si>
    <t>VENTAS</t>
  </si>
  <si>
    <t>Dia</t>
  </si>
  <si>
    <t>Turno</t>
  </si>
  <si>
    <t>TRANSFERENCIAS CUP</t>
  </si>
  <si>
    <t>TRANSFERENCIAS ZELLE</t>
  </si>
  <si>
    <t>EURO</t>
  </si>
  <si>
    <t>USD</t>
  </si>
  <si>
    <t>EFECTIVO</t>
  </si>
  <si>
    <t>CUENTA FISCAL</t>
  </si>
  <si>
    <t>TOTAL</t>
  </si>
  <si>
    <t>TOTAL USD</t>
  </si>
  <si>
    <t>Promedio diario</t>
  </si>
  <si>
    <t>TRANSFERENCIAS MLC</t>
  </si>
  <si>
    <t>Dia1</t>
  </si>
  <si>
    <t>Día 2</t>
  </si>
  <si>
    <t>Dia3</t>
  </si>
  <si>
    <t>Dia4</t>
  </si>
  <si>
    <t>Dia5</t>
  </si>
  <si>
    <t>Dia6</t>
  </si>
  <si>
    <t>Dia7</t>
  </si>
  <si>
    <t>Dia8</t>
  </si>
  <si>
    <t>Dia9</t>
  </si>
  <si>
    <t>Dia10</t>
  </si>
  <si>
    <t>Dia11</t>
  </si>
  <si>
    <t>Dia12</t>
  </si>
  <si>
    <t>Dia13</t>
  </si>
  <si>
    <t>Dia14</t>
  </si>
  <si>
    <t>Dia15</t>
  </si>
  <si>
    <t>Dia16</t>
  </si>
  <si>
    <t>Dia17</t>
  </si>
  <si>
    <t>Dia18</t>
  </si>
  <si>
    <t>Dia19</t>
  </si>
  <si>
    <t>Dia20</t>
  </si>
  <si>
    <t>Dia21</t>
  </si>
  <si>
    <t>Dia22</t>
  </si>
  <si>
    <t>Dia23</t>
  </si>
  <si>
    <t>Dia24</t>
  </si>
  <si>
    <t>Dia25</t>
  </si>
  <si>
    <t>Dia26</t>
  </si>
  <si>
    <t>Dia27</t>
  </si>
  <si>
    <t>Dia28</t>
  </si>
  <si>
    <t>Dia29</t>
  </si>
  <si>
    <t>Dia30</t>
  </si>
  <si>
    <t>Dia31</t>
  </si>
  <si>
    <t>TOTAL MES</t>
  </si>
  <si>
    <t>Jacqueline</t>
  </si>
  <si>
    <t>Yeni</t>
  </si>
  <si>
    <t>Daniela</t>
  </si>
  <si>
    <t>Mildrey</t>
  </si>
  <si>
    <t>Aileen</t>
  </si>
  <si>
    <t>Laura</t>
  </si>
  <si>
    <t>Vanessa</t>
  </si>
  <si>
    <t>Magaly</t>
  </si>
  <si>
    <t>Día:1</t>
  </si>
  <si>
    <t>CUP</t>
  </si>
  <si>
    <t>TRANSFERENCIA A CUENTA FISCAL</t>
  </si>
  <si>
    <t xml:space="preserve">Ventas   </t>
  </si>
  <si>
    <t>Ventas Brutas</t>
  </si>
  <si>
    <t>Gastos</t>
  </si>
  <si>
    <t xml:space="preserve">SalarioTienda 2% </t>
  </si>
  <si>
    <t>Total de Gastos</t>
  </si>
  <si>
    <t xml:space="preserve">Total </t>
  </si>
  <si>
    <t>Día:2</t>
  </si>
  <si>
    <t>Día:3</t>
  </si>
  <si>
    <t>Día:4</t>
  </si>
  <si>
    <t>Día: 5</t>
  </si>
  <si>
    <t>Día: 6</t>
  </si>
  <si>
    <t>EFECTIVO CUP</t>
  </si>
  <si>
    <t>Pago Gestora Gercy</t>
  </si>
  <si>
    <t>Día: 7</t>
  </si>
  <si>
    <t>Día: 8</t>
  </si>
  <si>
    <t>Día: 9</t>
  </si>
  <si>
    <t>Día: 10</t>
  </si>
  <si>
    <t>Día: 11</t>
  </si>
  <si>
    <t>Día: 12</t>
  </si>
  <si>
    <t>Día: 13</t>
  </si>
  <si>
    <t>Día: 14</t>
  </si>
  <si>
    <t>Día: 15</t>
  </si>
  <si>
    <t>Pago Gestor Yeni</t>
  </si>
  <si>
    <t>Día: 16</t>
  </si>
  <si>
    <t>Día: 17</t>
  </si>
  <si>
    <t>Día: 18</t>
  </si>
  <si>
    <t>Saqué yo</t>
  </si>
  <si>
    <t>Día: 19</t>
  </si>
  <si>
    <t>Día: 20</t>
  </si>
  <si>
    <t>Día: 21</t>
  </si>
  <si>
    <t>Día: 22</t>
  </si>
  <si>
    <t>Día: 23</t>
  </si>
  <si>
    <t>Día: 24</t>
  </si>
  <si>
    <t>Día: 25</t>
  </si>
  <si>
    <t>Día: 26</t>
  </si>
  <si>
    <t>Día: 27</t>
  </si>
  <si>
    <t>Día: 28</t>
  </si>
  <si>
    <t>Día: 29</t>
  </si>
  <si>
    <t>Día: 30</t>
  </si>
  <si>
    <t>Día: 31</t>
  </si>
  <si>
    <t>MES:</t>
  </si>
  <si>
    <t>10% ventas</t>
  </si>
  <si>
    <t>5% Ingresos personales</t>
  </si>
  <si>
    <t>Ventas Netas</t>
  </si>
  <si>
    <t>% del total de gastos</t>
  </si>
  <si>
    <t>Utilidad Bruta</t>
  </si>
  <si>
    <t>Impuestos</t>
  </si>
  <si>
    <t>12,5% Seg.Social</t>
  </si>
  <si>
    <t>5% Util. Fuerza de Trab.</t>
  </si>
  <si>
    <t>Total Impuestos</t>
  </si>
  <si>
    <t>Utilidad después de impuestos</t>
  </si>
  <si>
    <t>Impuesto sobre utilidades</t>
  </si>
  <si>
    <t>Utilidad Neta</t>
  </si>
  <si>
    <t>Costo de la mercancía</t>
  </si>
  <si>
    <t>Costo por peso de Ingreso</t>
  </si>
</sst>
</file>

<file path=xl/styles.xml><?xml version="1.0" encoding="utf-8"?>
<styleSheet xmlns="http://schemas.openxmlformats.org/spreadsheetml/2006/main">
  <numFmts count="8">
    <numFmt numFmtId="176" formatCode="0.0%"/>
    <numFmt numFmtId="177" formatCode="[$$-409]#,##0.00"/>
    <numFmt numFmtId="178" formatCode="0_ 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179" formatCode="#,##0.0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14" fillId="7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20" fillId="23" borderId="1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1" borderId="17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0" fontId="1" fillId="0" borderId="1" xfId="0" applyFont="1" applyBorder="1"/>
    <xf numFmtId="177" fontId="1" fillId="0" borderId="1" xfId="0" applyNumberFormat="1" applyFont="1" applyBorder="1"/>
    <xf numFmtId="0" fontId="0" fillId="0" borderId="1" xfId="0" applyBorder="1"/>
    <xf numFmtId="177" fontId="0" fillId="0" borderId="1" xfId="0" applyNumberFormat="1" applyBorder="1"/>
    <xf numFmtId="0" fontId="0" fillId="0" borderId="2" xfId="0" applyBorder="1"/>
    <xf numFmtId="177" fontId="0" fillId="0" borderId="2" xfId="0" applyNumberFormat="1" applyBorder="1"/>
    <xf numFmtId="0" fontId="1" fillId="0" borderId="2" xfId="0" applyFont="1" applyBorder="1"/>
    <xf numFmtId="177" fontId="1" fillId="0" borderId="2" xfId="0" applyNumberFormat="1" applyFont="1" applyBorder="1"/>
    <xf numFmtId="0" fontId="1" fillId="2" borderId="1" xfId="0" applyFont="1" applyFill="1" applyBorder="1"/>
    <xf numFmtId="177" fontId="1" fillId="2" borderId="1" xfId="0" applyNumberFormat="1" applyFont="1" applyFill="1" applyBorder="1"/>
    <xf numFmtId="176" fontId="0" fillId="0" borderId="1" xfId="47" applyNumberFormat="1" applyFont="1" applyBorder="1"/>
    <xf numFmtId="177" fontId="2" fillId="2" borderId="2" xfId="0" applyNumberFormat="1" applyFont="1" applyFill="1" applyBorder="1" applyAlignment="1">
      <alignment horizontal="center" vertical="center"/>
    </xf>
    <xf numFmtId="177" fontId="2" fillId="2" borderId="3" xfId="0" applyNumberFormat="1" applyFont="1" applyFill="1" applyBorder="1"/>
    <xf numFmtId="177" fontId="2" fillId="2" borderId="1" xfId="0" applyNumberFormat="1" applyFont="1" applyFill="1" applyBorder="1"/>
    <xf numFmtId="177" fontId="2" fillId="2" borderId="4" xfId="0" applyNumberFormat="1" applyFont="1" applyFill="1" applyBorder="1" applyAlignment="1">
      <alignment horizontal="center" vertical="center"/>
    </xf>
    <xf numFmtId="177" fontId="0" fillId="0" borderId="5" xfId="0" applyNumberFormat="1" applyBorder="1"/>
    <xf numFmtId="177" fontId="2" fillId="2" borderId="6" xfId="0" applyNumberFormat="1" applyFont="1" applyFill="1" applyBorder="1" applyAlignment="1">
      <alignment horizontal="center" vertical="center"/>
    </xf>
    <xf numFmtId="177" fontId="0" fillId="0" borderId="0" xfId="0" applyNumberFormat="1"/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Border="1"/>
    <xf numFmtId="177" fontId="0" fillId="0" borderId="0" xfId="0" applyNumberFormat="1" applyBorder="1"/>
    <xf numFmtId="9" fontId="0" fillId="0" borderId="1" xfId="0" applyNumberFormat="1" applyBorder="1"/>
    <xf numFmtId="0" fontId="1" fillId="0" borderId="0" xfId="0" applyFont="1"/>
    <xf numFmtId="177" fontId="1" fillId="0" borderId="0" xfId="0" applyNumberFormat="1" applyFont="1"/>
    <xf numFmtId="177" fontId="2" fillId="2" borderId="8" xfId="0" applyNumberFormat="1" applyFont="1" applyFill="1" applyBorder="1"/>
    <xf numFmtId="177" fontId="2" fillId="2" borderId="9" xfId="0" applyNumberFormat="1" applyFont="1" applyFill="1" applyBorder="1"/>
    <xf numFmtId="0" fontId="2" fillId="2" borderId="8" xfId="0" applyFont="1" applyFill="1" applyBorder="1"/>
    <xf numFmtId="178" fontId="0" fillId="0" borderId="1" xfId="0" applyNumberFormat="1" applyBorder="1"/>
    <xf numFmtId="179" fontId="0" fillId="0" borderId="1" xfId="0" applyNumberFormat="1" applyBorder="1"/>
    <xf numFmtId="9" fontId="0" fillId="0" borderId="7" xfId="0" applyNumberFormat="1" applyBorder="1" applyAlignment="1">
      <alignment horizontal="left"/>
    </xf>
    <xf numFmtId="177" fontId="2" fillId="2" borderId="1" xfId="0" applyNumberFormat="1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/>
    <xf numFmtId="177" fontId="0" fillId="0" borderId="10" xfId="0" applyNumberFormat="1" applyBorder="1"/>
    <xf numFmtId="0" fontId="2" fillId="2" borderId="1" xfId="0" applyFont="1" applyFill="1" applyBorder="1"/>
    <xf numFmtId="0" fontId="1" fillId="0" borderId="6" xfId="0" applyFon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haredStrings" Target="sharedStrings.xml"/><Relationship Id="rId37" Type="http://schemas.openxmlformats.org/officeDocument/2006/relationships/styles" Target="styles.xml"/><Relationship Id="rId36" Type="http://schemas.openxmlformats.org/officeDocument/2006/relationships/theme" Target="theme/theme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D17"/>
  <sheetViews>
    <sheetView workbookViewId="0">
      <selection activeCell="C18" sqref="C18"/>
    </sheetView>
  </sheetViews>
  <sheetFormatPr defaultColWidth="11" defaultRowHeight="14" outlineLevelCol="3"/>
  <cols>
    <col min="3" max="3" width="23.890625" customWidth="1"/>
    <col min="4" max="4" width="112.890625" customWidth="1"/>
  </cols>
  <sheetData>
    <row r="2" spans="3:4">
      <c r="C2" s="19" t="s">
        <v>0</v>
      </c>
      <c r="D2" s="20"/>
    </row>
    <row r="3" spans="3:4">
      <c r="C3" s="9" t="s">
        <v>1</v>
      </c>
      <c r="D3" s="9" t="s">
        <v>2</v>
      </c>
    </row>
    <row r="4" spans="3:4">
      <c r="C4" s="38" t="s">
        <v>3</v>
      </c>
      <c r="D4" s="3" t="s">
        <v>4</v>
      </c>
    </row>
    <row r="5" spans="3:4">
      <c r="C5" s="1" t="s">
        <v>5</v>
      </c>
      <c r="D5" s="3" t="s">
        <v>6</v>
      </c>
    </row>
    <row r="6" spans="3:4">
      <c r="C6" s="1" t="s">
        <v>7</v>
      </c>
      <c r="D6" s="3" t="s">
        <v>8</v>
      </c>
    </row>
    <row r="7" spans="3:4">
      <c r="C7" s="1" t="s">
        <v>9</v>
      </c>
      <c r="D7" s="3" t="s">
        <v>10</v>
      </c>
    </row>
    <row r="8" spans="3:4">
      <c r="C8" s="1" t="s">
        <v>11</v>
      </c>
      <c r="D8" s="3" t="s">
        <v>10</v>
      </c>
    </row>
    <row r="9" spans="3:4">
      <c r="C9" s="1" t="s">
        <v>12</v>
      </c>
      <c r="D9" s="3" t="s">
        <v>13</v>
      </c>
    </row>
    <row r="10" spans="3:4">
      <c r="C10" s="1" t="s">
        <v>14</v>
      </c>
      <c r="D10" s="3" t="s">
        <v>15</v>
      </c>
    </row>
    <row r="11" spans="3:4">
      <c r="C11" s="1" t="s">
        <v>16</v>
      </c>
      <c r="D11" s="3" t="s">
        <v>17</v>
      </c>
    </row>
    <row r="12" spans="3:4">
      <c r="C12" s="1" t="s">
        <v>18</v>
      </c>
      <c r="D12" s="3" t="s">
        <v>19</v>
      </c>
    </row>
    <row r="13" spans="3:4">
      <c r="C13" s="1" t="s">
        <v>20</v>
      </c>
      <c r="D13" s="3" t="s">
        <v>21</v>
      </c>
    </row>
    <row r="14" spans="3:4">
      <c r="C14" s="1" t="s">
        <v>22</v>
      </c>
      <c r="D14" s="3" t="s">
        <v>23</v>
      </c>
    </row>
    <row r="15" spans="3:4">
      <c r="C15" s="1" t="s">
        <v>24</v>
      </c>
      <c r="D15" s="3" t="s">
        <v>25</v>
      </c>
    </row>
    <row r="16" spans="3:4">
      <c r="C16" s="1" t="s">
        <v>26</v>
      </c>
      <c r="D16" s="3" t="s">
        <v>27</v>
      </c>
    </row>
    <row r="17" spans="3:4">
      <c r="C17" s="1" t="s">
        <v>28</v>
      </c>
      <c r="D17" s="3" t="s">
        <v>29</v>
      </c>
    </row>
  </sheetData>
  <mergeCells count="1">
    <mergeCell ref="C2: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8"/>
  <sheetViews>
    <sheetView workbookViewId="0">
      <selection activeCell="K9" sqref="K9"/>
    </sheetView>
  </sheetViews>
  <sheetFormatPr defaultColWidth="11" defaultRowHeight="14"/>
  <cols>
    <col min="2" max="2" width="8.5546875" customWidth="1"/>
    <col min="3" max="3" width="15.3359375" customWidth="1"/>
    <col min="4" max="4" width="21.78125" customWidth="1"/>
    <col min="5" max="5" width="20.890625" customWidth="1"/>
    <col min="8" max="8" width="14" customWidth="1"/>
    <col min="9" max="10" width="15" customWidth="1"/>
  </cols>
  <sheetData>
    <row r="2" spans="3:3">
      <c r="C2" s="32" t="s">
        <v>30</v>
      </c>
    </row>
    <row r="3" spans="2:11">
      <c r="B3" s="32" t="s">
        <v>31</v>
      </c>
      <c r="C3" s="32" t="s">
        <v>32</v>
      </c>
      <c r="D3" s="14" t="s">
        <v>33</v>
      </c>
      <c r="E3" s="14" t="s">
        <v>34</v>
      </c>
      <c r="F3" s="14" t="s">
        <v>35</v>
      </c>
      <c r="G3" s="14" t="s">
        <v>36</v>
      </c>
      <c r="H3" s="14" t="s">
        <v>37</v>
      </c>
      <c r="I3" s="37" t="s">
        <v>38</v>
      </c>
      <c r="J3" s="14" t="s">
        <v>39</v>
      </c>
      <c r="K3" s="14" t="s">
        <v>40</v>
      </c>
    </row>
    <row r="4" spans="2:11">
      <c r="B4" s="1">
        <v>1</v>
      </c>
      <c r="C4" s="33"/>
      <c r="D4" s="4">
        <f>+'Dia 1'!C4</f>
        <v>0</v>
      </c>
      <c r="E4" s="36">
        <f>+'Dia 1'!D4</f>
        <v>0</v>
      </c>
      <c r="F4" s="36">
        <f>+'Dia 1'!E4</f>
        <v>0</v>
      </c>
      <c r="G4" s="36">
        <f>+'Dia 1'!F4</f>
        <v>382</v>
      </c>
      <c r="H4" s="36">
        <f>+'Dia 1'!G4</f>
        <v>0</v>
      </c>
      <c r="I4" s="36">
        <f>+'Dia 1'!H4</f>
        <v>0</v>
      </c>
      <c r="J4" s="36">
        <f>+'Dia 1'!I4</f>
        <v>171900</v>
      </c>
      <c r="K4" s="4">
        <f>+'Dia 1'!J4</f>
        <v>382</v>
      </c>
    </row>
    <row r="5" spans="2:11">
      <c r="B5" s="1">
        <v>2</v>
      </c>
      <c r="C5" s="34"/>
      <c r="D5" s="4">
        <f>+'Dia 2'!C4</f>
        <v>0</v>
      </c>
      <c r="E5" s="4">
        <f>+'Dia 2'!D4</f>
        <v>0</v>
      </c>
      <c r="F5" s="4">
        <f>+'Dia 2'!E4</f>
        <v>0</v>
      </c>
      <c r="G5" s="4">
        <f>+'Dia 2'!F4</f>
        <v>232</v>
      </c>
      <c r="H5" s="4">
        <f>+'Dia 2'!G4</f>
        <v>38250</v>
      </c>
      <c r="I5" s="4">
        <f>+'Dia 2'!H4</f>
        <v>0</v>
      </c>
      <c r="J5" s="4">
        <f>+'Dia 2'!I4</f>
        <v>142650</v>
      </c>
      <c r="K5" s="4">
        <f>+'Dia 1'!J5</f>
        <v>0</v>
      </c>
    </row>
    <row r="6" spans="2:11">
      <c r="B6" s="1">
        <v>3</v>
      </c>
      <c r="C6" s="35"/>
      <c r="D6" s="4">
        <f>+'Dia 3'!C4</f>
        <v>0</v>
      </c>
      <c r="E6" s="4">
        <f>+'Dia 3'!D4</f>
        <v>0</v>
      </c>
      <c r="F6" s="4">
        <f>+'Dia 3'!E4</f>
        <v>50</v>
      </c>
      <c r="G6" s="4">
        <f>+'Dia 3'!F4</f>
        <v>174.48</v>
      </c>
      <c r="H6" s="4">
        <f>+'Dia 3'!G4</f>
        <v>0</v>
      </c>
      <c r="I6" s="4">
        <f>+'Dia 3'!H4</f>
        <v>0</v>
      </c>
      <c r="J6" s="4">
        <f>+'Dia 3'!I4</f>
        <v>100516</v>
      </c>
      <c r="K6" s="4">
        <f>+'Dia 1'!J6</f>
        <v>0</v>
      </c>
    </row>
    <row r="7" spans="2:11">
      <c r="B7" s="1">
        <v>4</v>
      </c>
      <c r="C7" s="35"/>
      <c r="D7" s="4">
        <f>+'Dia 4'!C4</f>
        <v>0</v>
      </c>
      <c r="E7" s="4">
        <f>+'Dia 4'!D4</f>
        <v>0</v>
      </c>
      <c r="F7" s="4">
        <f>+'Dia 4'!E4</f>
        <v>0</v>
      </c>
      <c r="G7" s="4">
        <f>+'Dia 4'!F4</f>
        <v>201</v>
      </c>
      <c r="H7" s="4">
        <f>+'Dia 4'!G4</f>
        <v>7950</v>
      </c>
      <c r="I7" s="4">
        <f>+'Dia 4'!H4</f>
        <v>7800</v>
      </c>
      <c r="J7" s="4">
        <f>+'Dia 4'!I4</f>
        <v>106200</v>
      </c>
      <c r="K7" s="4">
        <f>+'Dia 1'!J7</f>
        <v>0</v>
      </c>
    </row>
    <row r="8" spans="2:11">
      <c r="B8" s="1">
        <v>5</v>
      </c>
      <c r="C8" s="35"/>
      <c r="D8" s="4">
        <f>+'Dia 5'!C4</f>
        <v>0</v>
      </c>
      <c r="E8" s="4">
        <f>+'Dia 5'!D4</f>
        <v>0</v>
      </c>
      <c r="F8" s="4">
        <f>+'Dia 5'!E4</f>
        <v>0</v>
      </c>
      <c r="G8" s="4">
        <f>+'Dia 5'!F4</f>
        <v>399</v>
      </c>
      <c r="H8" s="4">
        <f>+'Dia 5'!G4</f>
        <v>33250</v>
      </c>
      <c r="I8" s="4">
        <f>+'Dia 5'!H4</f>
        <v>8740</v>
      </c>
      <c r="J8" s="4">
        <f>+'Dia 5'!I4</f>
        <v>221540</v>
      </c>
      <c r="K8" s="4">
        <f>+'Dia 1'!J8</f>
        <v>0</v>
      </c>
    </row>
    <row r="9" spans="2:11">
      <c r="B9" s="1">
        <v>6</v>
      </c>
      <c r="C9" s="35"/>
      <c r="D9" s="4">
        <f>+'Dia 6'!C4</f>
        <v>22500</v>
      </c>
      <c r="E9" s="4">
        <f>+'Dia 6'!D4</f>
        <v>0</v>
      </c>
      <c r="F9" s="4">
        <f>+'Dia 6'!E4</f>
        <v>0</v>
      </c>
      <c r="G9" s="4">
        <f>+'Dia 6'!F4</f>
        <v>421</v>
      </c>
      <c r="H9" s="4">
        <f>+'Dia 6'!G4</f>
        <v>49800</v>
      </c>
      <c r="I9" s="4">
        <f>+'Dia 6'!H4</f>
        <v>10000</v>
      </c>
      <c r="J9" s="4">
        <f>+'Dia 6'!I4</f>
        <v>271750</v>
      </c>
      <c r="K9" s="4">
        <f>+'Dia 1'!J9</f>
        <v>0</v>
      </c>
    </row>
    <row r="10" spans="2:11">
      <c r="B10" s="1">
        <v>7</v>
      </c>
      <c r="C10" s="35"/>
      <c r="D10" s="4">
        <f>+'Dia 7'!C4</f>
        <v>0</v>
      </c>
      <c r="E10" s="4">
        <f>+'Dia 7'!D4</f>
        <v>0</v>
      </c>
      <c r="F10" s="4">
        <f>+'Dia 7'!E4</f>
        <v>0</v>
      </c>
      <c r="G10" s="4">
        <f>+'Dia 7'!F4</f>
        <v>134</v>
      </c>
      <c r="H10" s="4">
        <f>+'Dia 7'!G4</f>
        <v>50730</v>
      </c>
      <c r="I10" s="4">
        <f>+'Dia 7'!H4</f>
        <v>0</v>
      </c>
      <c r="J10" s="4">
        <f>+'Dia 7'!I4</f>
        <v>110360</v>
      </c>
      <c r="K10" s="4">
        <f>+'Dia 1'!J10</f>
        <v>0</v>
      </c>
    </row>
    <row r="11" spans="2:11">
      <c r="B11" s="1">
        <v>8</v>
      </c>
      <c r="C11" s="35"/>
      <c r="D11" s="4">
        <f>+'Dia 8'!C4</f>
        <v>0</v>
      </c>
      <c r="E11" s="4">
        <f>+'Dia 8'!D4</f>
        <v>0</v>
      </c>
      <c r="F11" s="4">
        <f>+'Dia 8'!E4</f>
        <v>0</v>
      </c>
      <c r="G11" s="4">
        <f>+'Dia 8'!F4</f>
        <v>445</v>
      </c>
      <c r="H11" s="4">
        <f>+'Dia 8'!G4</f>
        <v>37505</v>
      </c>
      <c r="I11" s="4">
        <f>+'Dia 8'!H4</f>
        <v>0</v>
      </c>
      <c r="J11" s="4">
        <f>+'Dia 8'!I4</f>
        <v>235530</v>
      </c>
      <c r="K11" s="4">
        <f>+'Dia 1'!J11</f>
        <v>0</v>
      </c>
    </row>
    <row r="12" spans="2:11">
      <c r="B12" s="1">
        <v>9</v>
      </c>
      <c r="C12" s="35"/>
      <c r="D12" s="4">
        <f>+'Dia 9'!C4</f>
        <v>0</v>
      </c>
      <c r="E12" s="4">
        <f>+'Dia 9'!D4</f>
        <v>0</v>
      </c>
      <c r="F12" s="4">
        <f>+'Dia 9'!E4</f>
        <v>0</v>
      </c>
      <c r="G12" s="4">
        <f>+'Dia 9'!F4</f>
        <v>112</v>
      </c>
      <c r="H12" s="4">
        <f>+'Dia 9'!G4</f>
        <v>37825</v>
      </c>
      <c r="I12" s="4">
        <f>+'Dia 9'!H4</f>
        <v>0</v>
      </c>
      <c r="J12" s="4">
        <f>+'Dia 9'!I4</f>
        <v>87665</v>
      </c>
      <c r="K12" s="4">
        <f>+'Dia 1'!J12</f>
        <v>0</v>
      </c>
    </row>
    <row r="13" spans="2:11">
      <c r="B13" s="1">
        <v>10</v>
      </c>
      <c r="C13" s="35"/>
      <c r="D13" s="4">
        <f>+'Dia 10'!C4</f>
        <v>0</v>
      </c>
      <c r="E13" s="4">
        <f>+'Dia 10'!D4</f>
        <v>0</v>
      </c>
      <c r="F13" s="4">
        <f>+'Dia 10'!E4</f>
        <v>0</v>
      </c>
      <c r="G13" s="4">
        <f>+'Dia 10'!F4</f>
        <v>275</v>
      </c>
      <c r="H13" s="4">
        <f>+'Dia 10'!G4</f>
        <v>32550</v>
      </c>
      <c r="I13" s="4">
        <f>+'Dia 10'!H4</f>
        <v>0</v>
      </c>
      <c r="J13" s="4">
        <f>+'Dia 10'!I4</f>
        <v>154925</v>
      </c>
      <c r="K13" s="4">
        <f>+'Dia 1'!J13</f>
        <v>0</v>
      </c>
    </row>
    <row r="14" spans="2:11">
      <c r="B14" s="1">
        <v>11</v>
      </c>
      <c r="C14" s="35"/>
      <c r="D14" s="4">
        <f>+'Dia 11'!C4</f>
        <v>0</v>
      </c>
      <c r="E14" s="4">
        <f>+'Dia 11'!D4</f>
        <v>0</v>
      </c>
      <c r="F14" s="4">
        <f>+'Dia 11'!E4</f>
        <v>0</v>
      </c>
      <c r="G14" s="4">
        <f>+'Dia 11'!F4</f>
        <v>901</v>
      </c>
      <c r="H14" s="4">
        <f>+'Dia 11'!G4</f>
        <v>61275</v>
      </c>
      <c r="I14" s="4">
        <f>+'Dia 11'!H4</f>
        <v>10500</v>
      </c>
      <c r="J14" s="4">
        <f>+'Dia 11'!I4</f>
        <v>477225</v>
      </c>
      <c r="K14" s="4">
        <f>+'Dia 1'!J14</f>
        <v>0</v>
      </c>
    </row>
    <row r="15" spans="2:11">
      <c r="B15" s="1">
        <v>12</v>
      </c>
      <c r="C15" s="35"/>
      <c r="D15" s="4">
        <f>+'Dia 12'!C4</f>
        <v>6600</v>
      </c>
      <c r="E15" s="4">
        <f>+'Dia 12'!D4</f>
        <v>0</v>
      </c>
      <c r="F15" s="4">
        <f>+'Dia 12'!E4</f>
        <v>0</v>
      </c>
      <c r="G15" s="4">
        <f>+'Dia 12'!F4</f>
        <v>788</v>
      </c>
      <c r="H15" s="4">
        <f>+'Dia 12'!G4</f>
        <v>14950</v>
      </c>
      <c r="I15" s="4">
        <f>+'Dia 12'!H4</f>
        <v>16720</v>
      </c>
      <c r="J15" s="4">
        <f>+'Dia 12'!I4</f>
        <v>384990</v>
      </c>
      <c r="K15" s="4">
        <f>+'Dia 1'!J15</f>
        <v>0</v>
      </c>
    </row>
    <row r="16" spans="2:11">
      <c r="B16" s="1">
        <v>13</v>
      </c>
      <c r="C16" s="35"/>
      <c r="D16" s="4">
        <f>+'Dia 13'!C4</f>
        <v>0</v>
      </c>
      <c r="E16" s="4">
        <f>+'Dia 13'!D4</f>
        <v>0</v>
      </c>
      <c r="F16" s="4">
        <f>+'Dia 13'!E4</f>
        <v>165</v>
      </c>
      <c r="G16" s="4">
        <f>+'Dia 13'!F4</f>
        <v>957</v>
      </c>
      <c r="H16" s="4">
        <f>+'Dia 13'!G4</f>
        <v>7000</v>
      </c>
      <c r="I16" s="4">
        <f>+'Dia 13'!H4</f>
        <v>0</v>
      </c>
      <c r="J16" s="4">
        <f>+'Dia 13'!I4</f>
        <v>500680</v>
      </c>
      <c r="K16" s="4">
        <f>+'Dia 1'!J15</f>
        <v>0</v>
      </c>
    </row>
    <row r="17" spans="2:11">
      <c r="B17" s="1">
        <v>14</v>
      </c>
      <c r="C17" s="35"/>
      <c r="D17" s="4">
        <f>+'Dia 14'!C4</f>
        <v>7920</v>
      </c>
      <c r="E17" s="4">
        <f>+'Dia 14'!D4</f>
        <v>0</v>
      </c>
      <c r="F17" s="4">
        <f>+'Dia 14'!E4</f>
        <v>0</v>
      </c>
      <c r="G17" s="4">
        <f>+'Dia 14'!F4</f>
        <v>489</v>
      </c>
      <c r="H17" s="4">
        <f>+'Dia 14'!G4</f>
        <v>17600</v>
      </c>
      <c r="I17" s="4">
        <f>+'Dia 14'!H4</f>
        <v>11000</v>
      </c>
      <c r="J17" s="4">
        <f>+'Dia 14'!I4</f>
        <v>251680</v>
      </c>
      <c r="K17" s="4">
        <f>+'Dia 1'!J16</f>
        <v>0</v>
      </c>
    </row>
    <row r="18" spans="2:11">
      <c r="B18" s="1">
        <v>15</v>
      </c>
      <c r="C18" s="35"/>
      <c r="D18" s="4">
        <f>+'Dia 15'!C4</f>
        <v>0</v>
      </c>
      <c r="E18" s="4">
        <f>+'Dia 15'!D4</f>
        <v>0</v>
      </c>
      <c r="F18" s="4">
        <f>+'Dia 15'!E4</f>
        <v>0</v>
      </c>
      <c r="G18" s="4">
        <f>+'Dia 15'!F4</f>
        <v>471.4</v>
      </c>
      <c r="H18" s="4">
        <f>+'Dia 15'!G4</f>
        <v>0</v>
      </c>
      <c r="I18" s="4">
        <f>+'Dia 15'!H4</f>
        <v>0</v>
      </c>
      <c r="J18" s="4">
        <f>+'Dia 15'!I4</f>
        <v>207416</v>
      </c>
      <c r="K18" s="4">
        <f>+'Dia 1'!J17</f>
        <v>0</v>
      </c>
    </row>
    <row r="19" spans="2:11">
      <c r="B19" s="1">
        <v>16</v>
      </c>
      <c r="C19" s="35"/>
      <c r="D19" s="4">
        <f>+'Dia 16'!C4</f>
        <v>0</v>
      </c>
      <c r="E19" s="4">
        <f>+'Dia 16'!D4</f>
        <v>0</v>
      </c>
      <c r="F19" s="4">
        <f>+'Dia 16'!E4</f>
        <v>0</v>
      </c>
      <c r="G19" s="4">
        <f>+'Dia 16'!F4</f>
        <v>504</v>
      </c>
      <c r="H19" s="4">
        <f>+'Dia 16'!G4</f>
        <v>22000</v>
      </c>
      <c r="I19" s="4">
        <f>+'Dia 16'!H4</f>
        <v>0</v>
      </c>
      <c r="J19" s="4">
        <f>+'Dia 16'!I4</f>
        <v>243760</v>
      </c>
      <c r="K19" s="4">
        <f>+'Dia 1'!J18</f>
        <v>0</v>
      </c>
    </row>
    <row r="20" spans="2:11">
      <c r="B20" s="1">
        <v>17</v>
      </c>
      <c r="C20" s="35"/>
      <c r="D20" s="4">
        <f>+'Dia 17'!C4</f>
        <v>39920</v>
      </c>
      <c r="E20" s="4">
        <f>+'Dia 17'!D4</f>
        <v>0</v>
      </c>
      <c r="F20" s="4">
        <f>+'Dia 17'!E4</f>
        <v>0</v>
      </c>
      <c r="G20" s="4">
        <f>+'Dia 17'!F4</f>
        <v>445</v>
      </c>
      <c r="H20" s="4">
        <f>+'Dia 17'!G4</f>
        <v>154120</v>
      </c>
      <c r="I20" s="4">
        <f>+'Dia 17'!H4</f>
        <v>0</v>
      </c>
      <c r="J20" s="4">
        <f>+'Dia 17'!I4</f>
        <v>389840</v>
      </c>
      <c r="K20" s="4">
        <f>+'Dia 1'!J19</f>
        <v>0</v>
      </c>
    </row>
    <row r="21" spans="2:11">
      <c r="B21" s="1">
        <v>18</v>
      </c>
      <c r="C21" s="35"/>
      <c r="D21" s="4">
        <f>+'Dia 18'!C4</f>
        <v>0</v>
      </c>
      <c r="E21" s="4">
        <f>+'Dia 18'!D4</f>
        <v>0</v>
      </c>
      <c r="F21" s="4">
        <f>+'Dia 18'!E4</f>
        <v>50</v>
      </c>
      <c r="G21" s="4">
        <f>+'Dia 18'!F4</f>
        <v>224</v>
      </c>
      <c r="H21" s="4">
        <f>+'Dia 18'!G4</f>
        <v>0</v>
      </c>
      <c r="I21" s="4">
        <f>+'Dia 18'!H4</f>
        <v>0</v>
      </c>
      <c r="J21" s="4">
        <f>+'Dia 18'!I4</f>
        <v>116080</v>
      </c>
      <c r="K21" s="4">
        <f>+'Dia 1'!J20</f>
        <v>0</v>
      </c>
    </row>
    <row r="22" spans="2:11">
      <c r="B22" s="1">
        <v>19</v>
      </c>
      <c r="C22" s="35"/>
      <c r="D22" s="4">
        <f>+'Dia 19'!C4</f>
        <v>0</v>
      </c>
      <c r="E22" s="4">
        <f>+'Dia 19'!D4</f>
        <v>0</v>
      </c>
      <c r="F22" s="4">
        <f>+'Dia 19'!E4</f>
        <v>0</v>
      </c>
      <c r="G22" s="4">
        <f>+'Dia 19'!F4</f>
        <v>0</v>
      </c>
      <c r="H22" s="4">
        <f>+'Dia 19'!G4</f>
        <v>0</v>
      </c>
      <c r="I22" s="4">
        <f>+'Dia 19'!H4</f>
        <v>0</v>
      </c>
      <c r="J22" s="4">
        <f>+'Dia 19'!I4</f>
        <v>0</v>
      </c>
      <c r="K22" s="4">
        <f>+'Dia 1'!J22</f>
        <v>0</v>
      </c>
    </row>
    <row r="23" spans="2:11">
      <c r="B23" s="1">
        <v>20</v>
      </c>
      <c r="C23" s="35"/>
      <c r="D23" s="4">
        <f>+'Dia 20'!C4</f>
        <v>0</v>
      </c>
      <c r="E23" s="4">
        <f>+'Dia 20'!D4</f>
        <v>0</v>
      </c>
      <c r="F23" s="4">
        <f>+'Dia 20'!E4</f>
        <v>0</v>
      </c>
      <c r="G23" s="4">
        <f>+'Dia 20'!F4</f>
        <v>772</v>
      </c>
      <c r="H23" s="4">
        <f>+'Dia 20'!G4</f>
        <v>30450</v>
      </c>
      <c r="I23" s="4">
        <f>+'Dia 20'!H4</f>
        <v>0</v>
      </c>
      <c r="J23" s="4">
        <f>+'Dia 20'!I4</f>
        <v>370130</v>
      </c>
      <c r="K23" s="4">
        <f>+'Dia 1'!J23</f>
        <v>0</v>
      </c>
    </row>
    <row r="24" spans="2:11">
      <c r="B24" s="1">
        <v>21</v>
      </c>
      <c r="C24" s="35"/>
      <c r="D24" s="4">
        <f>+'Dia 21'!C4</f>
        <v>0</v>
      </c>
      <c r="E24" s="4">
        <f>+'Dia 21'!D4</f>
        <v>0</v>
      </c>
      <c r="F24" s="4">
        <f>+'Dia 21'!E4</f>
        <v>0</v>
      </c>
      <c r="G24" s="4">
        <f>+'Dia 21'!F4</f>
        <v>412</v>
      </c>
      <c r="H24" s="4">
        <f>+'Dia 21'!G4</f>
        <v>46450</v>
      </c>
      <c r="I24" s="4">
        <f>+'Dia 21'!H4</f>
        <v>0</v>
      </c>
      <c r="J24" s="4">
        <f>+'Dia 21'!I4</f>
        <v>227730</v>
      </c>
      <c r="K24" s="4">
        <f>+'Dia 1'!J24</f>
        <v>0</v>
      </c>
    </row>
    <row r="25" spans="2:11">
      <c r="B25" s="1">
        <v>22</v>
      </c>
      <c r="C25" s="35"/>
      <c r="D25" s="4">
        <f>+'Dia 22'!C4</f>
        <v>0</v>
      </c>
      <c r="E25" s="4">
        <f>+'Dia 22'!D4</f>
        <v>0</v>
      </c>
      <c r="F25" s="4">
        <f>+'Dia 22'!E4</f>
        <v>0</v>
      </c>
      <c r="G25" s="4">
        <f>+'Dia 22'!F4</f>
        <v>222</v>
      </c>
      <c r="H25" s="4">
        <f>+'Dia 22'!G4</f>
        <v>60940</v>
      </c>
      <c r="I25" s="4">
        <f>+'Dia 22'!H4</f>
        <v>0</v>
      </c>
      <c r="J25" s="4">
        <f>+'Dia 22'!I4</f>
        <v>158620</v>
      </c>
      <c r="K25" s="4">
        <f>+'Dia 1'!J25</f>
        <v>0</v>
      </c>
    </row>
    <row r="26" spans="2:11">
      <c r="B26" s="1">
        <v>23</v>
      </c>
      <c r="C26" s="35"/>
      <c r="D26" s="4">
        <f>+'Dia 23'!C4</f>
        <v>0</v>
      </c>
      <c r="E26" s="4">
        <f>+'Dia 23'!D4</f>
        <v>0</v>
      </c>
      <c r="F26" s="4">
        <f>+'Dia 23'!E4</f>
        <v>0</v>
      </c>
      <c r="G26" s="4">
        <f>+'Dia 23'!F4</f>
        <v>0</v>
      </c>
      <c r="H26" s="4">
        <f>+'Dia 23'!G4</f>
        <v>0</v>
      </c>
      <c r="I26" s="4">
        <f>+'Dia 23'!H4</f>
        <v>0</v>
      </c>
      <c r="J26" s="4">
        <f>+'Dia 23'!I4</f>
        <v>0</v>
      </c>
      <c r="K26" s="4">
        <f>+'Dia 1'!J26</f>
        <v>0</v>
      </c>
    </row>
    <row r="27" spans="2:11">
      <c r="B27" s="1">
        <v>24</v>
      </c>
      <c r="C27" s="3"/>
      <c r="D27" s="4">
        <f>+'Dia 24'!C4</f>
        <v>0</v>
      </c>
      <c r="E27" s="4">
        <f>+'Dia 24'!D4</f>
        <v>0</v>
      </c>
      <c r="F27" s="4">
        <f>+'Dia 24'!E4</f>
        <v>0</v>
      </c>
      <c r="G27" s="4">
        <f>+'Dia 24'!F4</f>
        <v>0</v>
      </c>
      <c r="H27" s="4">
        <f>+'Dia 24'!G4</f>
        <v>0</v>
      </c>
      <c r="I27" s="4">
        <f>+'Dia 24'!H4</f>
        <v>0</v>
      </c>
      <c r="J27" s="4">
        <f>+'Dia 24'!I4</f>
        <v>0</v>
      </c>
      <c r="K27" s="4">
        <f>+'Dia 1'!J27</f>
        <v>0</v>
      </c>
    </row>
    <row r="28" spans="2:11">
      <c r="B28" s="1">
        <v>25</v>
      </c>
      <c r="C28" s="3"/>
      <c r="D28" s="4">
        <f>+'Dia 25'!C4</f>
        <v>0</v>
      </c>
      <c r="E28" s="4">
        <f>+'Dia 25'!D4</f>
        <v>0</v>
      </c>
      <c r="F28" s="4">
        <f>+'Dia 25'!E4</f>
        <v>0</v>
      </c>
      <c r="G28" s="4">
        <f>+'Dia 25'!F4</f>
        <v>0</v>
      </c>
      <c r="H28" s="4">
        <f>+'Dia 25'!G4</f>
        <v>0</v>
      </c>
      <c r="I28" s="4">
        <f>+'Dia 25'!H4</f>
        <v>0</v>
      </c>
      <c r="J28" s="4">
        <f>+'Dia 25'!I4</f>
        <v>0</v>
      </c>
      <c r="K28" s="4">
        <f>+'Dia 1'!J28</f>
        <v>0</v>
      </c>
    </row>
    <row r="29" spans="2:11">
      <c r="B29" s="1">
        <v>26</v>
      </c>
      <c r="C29" s="3"/>
      <c r="D29" s="4">
        <f>+'Dia 26'!C4</f>
        <v>0</v>
      </c>
      <c r="E29" s="4">
        <f>+'Dia 26'!D4</f>
        <v>0</v>
      </c>
      <c r="F29" s="4">
        <f>+'Dia 26'!E4</f>
        <v>0</v>
      </c>
      <c r="G29" s="4">
        <f>+'Dia 26'!F4</f>
        <v>0</v>
      </c>
      <c r="H29" s="4">
        <f>+'Dia 26'!G4</f>
        <v>0</v>
      </c>
      <c r="I29" s="4">
        <f>+'Dia 26'!H4</f>
        <v>0</v>
      </c>
      <c r="J29" s="4">
        <f>+'Dia 26'!I4</f>
        <v>0</v>
      </c>
      <c r="K29" s="4">
        <f>+'Dia 1'!J29</f>
        <v>0</v>
      </c>
    </row>
    <row r="30" spans="2:11">
      <c r="B30" s="1">
        <v>27</v>
      </c>
      <c r="C30" s="3"/>
      <c r="D30" s="4">
        <f>+'Dia 27'!C4</f>
        <v>0</v>
      </c>
      <c r="E30" s="4">
        <f>+'Dia 27'!D4</f>
        <v>0</v>
      </c>
      <c r="F30" s="4">
        <f>+'Dia 27'!E4</f>
        <v>0</v>
      </c>
      <c r="G30" s="4">
        <f>+'Dia 27'!F4</f>
        <v>0</v>
      </c>
      <c r="H30" s="4">
        <f>+'Dia 27'!G4</f>
        <v>0</v>
      </c>
      <c r="I30" s="4">
        <f>+'Dia 27'!H4</f>
        <v>0</v>
      </c>
      <c r="J30" s="4">
        <f>+'Dia 27'!I4</f>
        <v>0</v>
      </c>
      <c r="K30" s="4">
        <f>+'Dia 1'!J30</f>
        <v>0</v>
      </c>
    </row>
    <row r="31" spans="2:11">
      <c r="B31" s="1">
        <v>28</v>
      </c>
      <c r="C31" s="3"/>
      <c r="D31" s="4">
        <f>+'Dia 28'!C4</f>
        <v>0</v>
      </c>
      <c r="E31" s="4">
        <f>+'Dia 28'!D4</f>
        <v>0</v>
      </c>
      <c r="F31" s="4">
        <f>+'Dia 28'!E4</f>
        <v>0</v>
      </c>
      <c r="G31" s="4">
        <f>+'Dia 28'!F4</f>
        <v>0</v>
      </c>
      <c r="H31" s="4">
        <f>+'Dia 28'!G4</f>
        <v>0</v>
      </c>
      <c r="I31" s="4">
        <f>+'Dia 28'!H4</f>
        <v>0</v>
      </c>
      <c r="J31" s="4">
        <f>+'Dia 28'!I4</f>
        <v>0</v>
      </c>
      <c r="K31" s="4">
        <f>+'Dia 1'!J31</f>
        <v>0</v>
      </c>
    </row>
    <row r="32" spans="2:11">
      <c r="B32" s="1">
        <v>29</v>
      </c>
      <c r="C32" s="3"/>
      <c r="D32" s="4">
        <f>+'Dia 29'!C4</f>
        <v>0</v>
      </c>
      <c r="E32" s="4">
        <f>+'Dia 29'!D4</f>
        <v>0</v>
      </c>
      <c r="F32" s="4">
        <f>+'Dia 29'!E4</f>
        <v>0</v>
      </c>
      <c r="G32" s="4">
        <f>+'Dia 29'!F4</f>
        <v>0</v>
      </c>
      <c r="H32" s="4">
        <f>+'Dia 29'!G4</f>
        <v>0</v>
      </c>
      <c r="I32" s="4">
        <f>+'Dia 29'!H4</f>
        <v>0</v>
      </c>
      <c r="J32" s="4">
        <f>+'Dia 29'!I4</f>
        <v>0</v>
      </c>
      <c r="K32" s="4">
        <f>+'Dia 1'!J32</f>
        <v>0</v>
      </c>
    </row>
    <row r="33" spans="2:11">
      <c r="B33" s="1">
        <v>30</v>
      </c>
      <c r="C33" s="3"/>
      <c r="D33" s="4">
        <f>+'Dia 30'!C4</f>
        <v>0</v>
      </c>
      <c r="E33" s="4">
        <f>+'Dia 30'!D4</f>
        <v>0</v>
      </c>
      <c r="F33" s="4">
        <f>+'Dia 30'!E4</f>
        <v>0</v>
      </c>
      <c r="G33" s="4">
        <f>+'Dia 30'!F4</f>
        <v>0</v>
      </c>
      <c r="H33" s="4">
        <f>+'Dia 30'!G4</f>
        <v>0</v>
      </c>
      <c r="I33" s="4">
        <f>+'Dia 30'!H4</f>
        <v>0</v>
      </c>
      <c r="J33" s="4">
        <f>+'Dia 30'!I4</f>
        <v>0</v>
      </c>
      <c r="K33" s="4">
        <f>+'Dia 1'!J35</f>
        <v>0</v>
      </c>
    </row>
    <row r="34" spans="2:11">
      <c r="B34" s="1">
        <v>31</v>
      </c>
      <c r="C34" s="3"/>
      <c r="D34" s="4">
        <f>+'Dia 31'!C4</f>
        <v>0</v>
      </c>
      <c r="E34" s="4">
        <f>+'Dia 31'!D4</f>
        <v>0</v>
      </c>
      <c r="F34" s="4">
        <f>+'Dia 31'!E4</f>
        <v>0</v>
      </c>
      <c r="G34" s="4">
        <f>+'Dia 31'!F4</f>
        <v>0</v>
      </c>
      <c r="H34" s="4">
        <f>+'Dia 31'!G4</f>
        <v>0</v>
      </c>
      <c r="I34" s="4">
        <f>+'Dia 31'!H4</f>
        <v>0</v>
      </c>
      <c r="J34" s="4">
        <f>+'Dia 31'!I4</f>
        <v>0</v>
      </c>
      <c r="K34" s="4">
        <f>+'Dia 1'!J36</f>
        <v>0</v>
      </c>
    </row>
    <row r="35" spans="2:11">
      <c r="B35" s="1" t="s">
        <v>39</v>
      </c>
      <c r="C35" s="1"/>
      <c r="D35" s="2">
        <f>+SUM(D4:D34)</f>
        <v>76940</v>
      </c>
      <c r="E35" s="2">
        <f t="shared" ref="E35:K35" si="0">+SUM(E4:E34)</f>
        <v>0</v>
      </c>
      <c r="F35" s="2">
        <f t="shared" si="0"/>
        <v>265</v>
      </c>
      <c r="G35" s="2">
        <f t="shared" si="0"/>
        <v>8960.88</v>
      </c>
      <c r="H35" s="2">
        <f t="shared" si="0"/>
        <v>702645</v>
      </c>
      <c r="I35" s="2">
        <f t="shared" si="0"/>
        <v>64760</v>
      </c>
      <c r="J35" s="2">
        <f t="shared" si="0"/>
        <v>4931187</v>
      </c>
      <c r="K35" s="2">
        <f t="shared" si="0"/>
        <v>382</v>
      </c>
    </row>
    <row r="37" spans="3:11">
      <c r="C37" s="9" t="s">
        <v>41</v>
      </c>
      <c r="D37" s="4">
        <f>+D35/31</f>
        <v>2481.93548387097</v>
      </c>
      <c r="E37" s="4">
        <f t="shared" ref="E37:K37" si="1">+E35/31</f>
        <v>0</v>
      </c>
      <c r="F37" s="4">
        <f t="shared" si="1"/>
        <v>8.54838709677419</v>
      </c>
      <c r="G37" s="4">
        <f t="shared" si="1"/>
        <v>289.06064516129</v>
      </c>
      <c r="H37" s="4">
        <f t="shared" si="1"/>
        <v>22665.9677419355</v>
      </c>
      <c r="I37" s="4">
        <f t="shared" si="1"/>
        <v>2089.03225806452</v>
      </c>
      <c r="J37" s="4">
        <f t="shared" si="1"/>
        <v>159070.548387097</v>
      </c>
      <c r="K37" s="4">
        <f t="shared" si="1"/>
        <v>12.3225806451613</v>
      </c>
    </row>
    <row r="38" spans="4:11">
      <c r="D38" s="14" t="s">
        <v>33</v>
      </c>
      <c r="E38" s="14" t="s">
        <v>42</v>
      </c>
      <c r="F38" s="14" t="s">
        <v>35</v>
      </c>
      <c r="G38" s="14" t="s">
        <v>36</v>
      </c>
      <c r="H38" s="14" t="s">
        <v>37</v>
      </c>
      <c r="I38" s="37" t="s">
        <v>38</v>
      </c>
      <c r="J38" s="14" t="s">
        <v>39</v>
      </c>
      <c r="K38" s="14" t="s">
        <v>40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H17"/>
  <sheetViews>
    <sheetView workbookViewId="0">
      <selection activeCell="Q14" sqref="Q14"/>
    </sheetView>
  </sheetViews>
  <sheetFormatPr defaultColWidth="11" defaultRowHeight="14"/>
  <cols>
    <col min="2" max="2" width="14.5546875" customWidth="1"/>
  </cols>
  <sheetData>
    <row r="5" spans="3:34"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53</v>
      </c>
      <c r="N5" s="1" t="s">
        <v>54</v>
      </c>
      <c r="O5" s="1" t="s">
        <v>55</v>
      </c>
      <c r="P5" s="1" t="s">
        <v>56</v>
      </c>
      <c r="Q5" s="1" t="s">
        <v>57</v>
      </c>
      <c r="R5" s="1" t="s">
        <v>58</v>
      </c>
      <c r="S5" s="1" t="s">
        <v>59</v>
      </c>
      <c r="T5" s="1" t="s">
        <v>60</v>
      </c>
      <c r="U5" s="1" t="s">
        <v>61</v>
      </c>
      <c r="V5" s="1" t="s">
        <v>62</v>
      </c>
      <c r="W5" s="1" t="s">
        <v>63</v>
      </c>
      <c r="X5" s="1" t="s">
        <v>64</v>
      </c>
      <c r="Y5" s="1" t="s">
        <v>65</v>
      </c>
      <c r="Z5" s="1" t="s">
        <v>66</v>
      </c>
      <c r="AA5" s="1" t="s">
        <v>67</v>
      </c>
      <c r="AB5" s="1" t="s">
        <v>68</v>
      </c>
      <c r="AC5" s="1" t="s">
        <v>69</v>
      </c>
      <c r="AD5" s="1" t="s">
        <v>70</v>
      </c>
      <c r="AE5" s="1" t="s">
        <v>71</v>
      </c>
      <c r="AF5" s="1" t="s">
        <v>72</v>
      </c>
      <c r="AG5" s="1" t="s">
        <v>73</v>
      </c>
      <c r="AH5" s="1" t="s">
        <v>74</v>
      </c>
    </row>
    <row r="6" spans="2:34">
      <c r="B6" s="3" t="s">
        <v>75</v>
      </c>
      <c r="C6" s="30">
        <f>+'Dia 1'!C28</f>
        <v>2000</v>
      </c>
      <c r="D6" s="30">
        <f>+'Dia 2'!C28</f>
        <v>2000</v>
      </c>
      <c r="E6" s="30">
        <f>+'Dia 3'!C28</f>
        <v>0</v>
      </c>
      <c r="F6" s="30">
        <f>+'Dia 4'!C28</f>
        <v>0</v>
      </c>
      <c r="G6" s="30">
        <f>+'Dia 5'!C28</f>
        <v>0</v>
      </c>
      <c r="H6" s="30">
        <f>+'Dia 6'!C28</f>
        <v>2000</v>
      </c>
      <c r="I6" s="30">
        <f>+'Dia 7'!C28</f>
        <v>0</v>
      </c>
      <c r="J6" s="30">
        <f>+'Dia 8'!C28</f>
        <v>2000</v>
      </c>
      <c r="K6" s="30">
        <f>+'Dia 9'!C28</f>
        <v>0</v>
      </c>
      <c r="L6" s="30">
        <f>+'Dia 10'!C28</f>
        <v>0</v>
      </c>
      <c r="M6" s="30">
        <f>+'Dia 11'!C28</f>
        <v>0</v>
      </c>
      <c r="N6" s="30">
        <f>+'Dia 12'!C28</f>
        <v>2000</v>
      </c>
      <c r="O6" s="30">
        <f>+'Dia 13'!C28</f>
        <v>2000</v>
      </c>
      <c r="P6" s="30">
        <f>+'Dia 14'!C28</f>
        <v>2000</v>
      </c>
      <c r="Q6" s="30">
        <f>+'Dia 15'!C28</f>
        <v>0</v>
      </c>
      <c r="R6" s="30">
        <f>+'Dia 16'!C28</f>
        <v>0</v>
      </c>
      <c r="S6" s="30">
        <f>+'Dia 17'!C28</f>
        <v>0</v>
      </c>
      <c r="T6" s="30">
        <f>+'Dia 18'!C28</f>
        <v>2000</v>
      </c>
      <c r="U6" s="30">
        <f>+'Dia 19'!C28</f>
        <v>0</v>
      </c>
      <c r="V6" s="30">
        <f>+'Dia 20'!C28</f>
        <v>2000</v>
      </c>
      <c r="W6" s="30">
        <f>+'Dia 21'!C28</f>
        <v>0</v>
      </c>
      <c r="X6" s="30">
        <f>+'Dia 22'!C28</f>
        <v>0</v>
      </c>
      <c r="Y6" s="30">
        <f>+'Dia 23'!C28</f>
        <v>0</v>
      </c>
      <c r="Z6" s="30">
        <f>+'Dia 24'!C28</f>
        <v>0</v>
      </c>
      <c r="AA6" s="30">
        <f>+'Dia 25'!C28</f>
        <v>0</v>
      </c>
      <c r="AB6" s="30">
        <f>+'Dia 26'!C28</f>
        <v>0</v>
      </c>
      <c r="AC6" s="30">
        <f>+'Dia 27'!C28</f>
        <v>0</v>
      </c>
      <c r="AD6" s="30">
        <f>+'Dia 28'!C28</f>
        <v>0</v>
      </c>
      <c r="AE6" s="30">
        <f>+'Dia 29'!C28</f>
        <v>0</v>
      </c>
      <c r="AF6" s="30">
        <f>+'Dia 30'!C28</f>
        <v>0</v>
      </c>
      <c r="AG6" s="30">
        <f>+'Dia 31'!C28</f>
        <v>0</v>
      </c>
      <c r="AH6" s="30">
        <f>SUM(C6:AG6)</f>
        <v>18000</v>
      </c>
    </row>
    <row r="7" spans="2:34">
      <c r="B7" s="3" t="s">
        <v>76</v>
      </c>
      <c r="C7" s="30">
        <f>+'Dia 1'!C29</f>
        <v>0</v>
      </c>
      <c r="D7" s="30">
        <f>+'Dia 2'!C29</f>
        <v>0</v>
      </c>
      <c r="E7" s="30">
        <f>+'Dia 3'!C29</f>
        <v>2000</v>
      </c>
      <c r="F7" s="30">
        <f>+'Dia 4'!C29</f>
        <v>0</v>
      </c>
      <c r="G7" s="30">
        <f>+'Dia 5'!C29</f>
        <v>2000</v>
      </c>
      <c r="H7" s="30">
        <f>+'Dia 6'!C29</f>
        <v>0</v>
      </c>
      <c r="I7" s="30">
        <f>+'Dia 7'!C29</f>
        <v>0</v>
      </c>
      <c r="J7" s="30">
        <f>+'Dia 8'!C29</f>
        <v>0</v>
      </c>
      <c r="K7" s="30">
        <f>+'Dia 9'!C29</f>
        <v>2000</v>
      </c>
      <c r="L7" s="30">
        <f>+'Dia 10'!C29</f>
        <v>2000</v>
      </c>
      <c r="M7" s="30">
        <f>+'Dia 11'!C29</f>
        <v>2000</v>
      </c>
      <c r="N7" s="30">
        <f>+'Dia 12'!C29</f>
        <v>0</v>
      </c>
      <c r="O7" s="30">
        <f>+'Dia 13'!C29</f>
        <v>0</v>
      </c>
      <c r="P7" s="30">
        <f>+'Dia 14'!C29</f>
        <v>0</v>
      </c>
      <c r="Q7" s="30">
        <f>+'Dia 15'!C29</f>
        <v>2000</v>
      </c>
      <c r="R7" s="30">
        <f>+'Dia 16'!C29</f>
        <v>2000</v>
      </c>
      <c r="S7" s="30">
        <f>+'Dia 17'!C29</f>
        <v>2000</v>
      </c>
      <c r="T7" s="30">
        <f>+'Dia 18'!C29</f>
        <v>0</v>
      </c>
      <c r="U7" s="30">
        <f>+'Dia 19'!C29</f>
        <v>0</v>
      </c>
      <c r="V7" s="30">
        <f>+'Dia 20'!C29</f>
        <v>0</v>
      </c>
      <c r="W7" s="30">
        <f>+'Dia 21'!C29</f>
        <v>0</v>
      </c>
      <c r="X7" s="30">
        <f>+'Dia 22'!C29</f>
        <v>2000</v>
      </c>
      <c r="Y7" s="30">
        <f>+'Dia 23'!C29</f>
        <v>0</v>
      </c>
      <c r="Z7" s="30">
        <f>+'Dia 24'!C29</f>
        <v>0</v>
      </c>
      <c r="AA7" s="30">
        <f>+'Dia 25'!C29</f>
        <v>0</v>
      </c>
      <c r="AB7" s="30">
        <f>+'Dia 26'!C29</f>
        <v>0</v>
      </c>
      <c r="AC7" s="30">
        <f>+'Dia 27'!C29</f>
        <v>0</v>
      </c>
      <c r="AD7" s="30">
        <f>+'Dia 28'!C29</f>
        <v>0</v>
      </c>
      <c r="AE7" s="30">
        <f>+'Dia 29'!C29</f>
        <v>0</v>
      </c>
      <c r="AF7" s="30">
        <f>+'Dia 30'!C29</f>
        <v>0</v>
      </c>
      <c r="AG7" s="30">
        <f>+'Dia 31'!C29</f>
        <v>0</v>
      </c>
      <c r="AH7" s="30">
        <f t="shared" ref="AH7:AH15" si="0">SUM(C7:AG7)</f>
        <v>18000</v>
      </c>
    </row>
    <row r="8" spans="2:34">
      <c r="B8" s="3" t="s">
        <v>77</v>
      </c>
      <c r="C8" s="30">
        <f>+'Dia 1'!C30</f>
        <v>0</v>
      </c>
      <c r="D8" s="30">
        <f>+'Dia 2'!C30</f>
        <v>0</v>
      </c>
      <c r="E8" s="30">
        <f>+'Dia 3'!C30</f>
        <v>0</v>
      </c>
      <c r="F8" s="30">
        <f>+'Dia 4'!C30</f>
        <v>2000</v>
      </c>
      <c r="G8" s="30">
        <f>+'Dia 5'!C30</f>
        <v>0</v>
      </c>
      <c r="H8" s="30">
        <f>+'Dia 6'!C30</f>
        <v>0</v>
      </c>
      <c r="I8" s="30">
        <f>+'Dia 7'!C30</f>
        <v>0</v>
      </c>
      <c r="J8" s="30">
        <f>+'Dia 8'!C30</f>
        <v>0</v>
      </c>
      <c r="K8" s="30">
        <f>+'Dia 9'!C30</f>
        <v>2000</v>
      </c>
      <c r="L8" s="30">
        <f>+'Dia 10'!C30</f>
        <v>0</v>
      </c>
      <c r="M8" s="30">
        <f>+'Dia 11'!C30</f>
        <v>0</v>
      </c>
      <c r="N8" s="30">
        <f>+'Dia 12'!C30</f>
        <v>2000</v>
      </c>
      <c r="O8" s="30">
        <f>+'Dia 13'!C30</f>
        <v>2000</v>
      </c>
      <c r="P8" s="30">
        <f>+'Dia 14'!C30</f>
        <v>2000</v>
      </c>
      <c r="Q8" s="30">
        <f>+'Dia 15'!C30</f>
        <v>0</v>
      </c>
      <c r="R8" s="30">
        <f>+'Dia 16'!C30</f>
        <v>0</v>
      </c>
      <c r="S8" s="30">
        <f>+'Dia 17'!C30</f>
        <v>0</v>
      </c>
      <c r="T8" s="30">
        <f>+'Dia 18'!C30</f>
        <v>0</v>
      </c>
      <c r="U8" s="30">
        <f>+'Dia 19'!C30</f>
        <v>0</v>
      </c>
      <c r="V8" s="30">
        <f>+'Dia 20'!C30</f>
        <v>0</v>
      </c>
      <c r="W8" s="30">
        <f>+'Dia 21'!C30</f>
        <v>0</v>
      </c>
      <c r="X8" s="30">
        <f>+'Dia 22'!C30</f>
        <v>0</v>
      </c>
      <c r="Y8" s="30">
        <f>+'Dia 23'!C30</f>
        <v>0</v>
      </c>
      <c r="Z8" s="30">
        <f>+'Dia 24'!C30</f>
        <v>0</v>
      </c>
      <c r="AA8" s="30">
        <f>+'Dia 25'!C30</f>
        <v>0</v>
      </c>
      <c r="AB8" s="30">
        <f>+'Dia 26'!C30</f>
        <v>0</v>
      </c>
      <c r="AC8" s="30">
        <f>+'Dia 27'!C30</f>
        <v>0</v>
      </c>
      <c r="AD8" s="30">
        <f>+'Dia 28'!C30</f>
        <v>0</v>
      </c>
      <c r="AE8" s="30">
        <f>+'Dia 29'!C30</f>
        <v>0</v>
      </c>
      <c r="AF8" s="30">
        <f>+'Dia 30'!C30</f>
        <v>0</v>
      </c>
      <c r="AG8" s="30">
        <f>+'Dia 31'!C30</f>
        <v>0</v>
      </c>
      <c r="AH8" s="30">
        <f t="shared" si="0"/>
        <v>10000</v>
      </c>
    </row>
    <row r="9" spans="2:34">
      <c r="B9" s="3" t="s">
        <v>78</v>
      </c>
      <c r="C9" s="30">
        <f>+'Dia 1'!C31</f>
        <v>0</v>
      </c>
      <c r="D9" s="30">
        <f>+'Dia 2'!C31</f>
        <v>0</v>
      </c>
      <c r="E9" s="30">
        <f>+'Dia 3'!C31</f>
        <v>0</v>
      </c>
      <c r="F9" s="30">
        <f>+'Dia 4'!C31</f>
        <v>2000</v>
      </c>
      <c r="G9" s="30">
        <f>+'Dia 5'!C31</f>
        <v>2000</v>
      </c>
      <c r="H9" s="30">
        <f>+'Dia 6'!C31</f>
        <v>0</v>
      </c>
      <c r="I9" s="30">
        <f>+'Dia 7'!C31</f>
        <v>0</v>
      </c>
      <c r="J9" s="30">
        <f>+'Dia 8'!C31</f>
        <v>0</v>
      </c>
      <c r="K9" s="30">
        <f>+'Dia 9'!C31</f>
        <v>0</v>
      </c>
      <c r="L9" s="30">
        <f>+'Dia 10'!C31</f>
        <v>0</v>
      </c>
      <c r="M9" s="30">
        <f>+'Dia 11'!C31</f>
        <v>0</v>
      </c>
      <c r="N9" s="30">
        <f>+'Dia 12'!C31</f>
        <v>0</v>
      </c>
      <c r="O9" s="30">
        <f>+'Dia 13'!C31</f>
        <v>0</v>
      </c>
      <c r="P9" s="30">
        <f>+'Dia 14'!C31</f>
        <v>0</v>
      </c>
      <c r="Q9" s="30">
        <f>+'Dia 15'!C31</f>
        <v>2000</v>
      </c>
      <c r="R9" s="30">
        <f>+'Dia 16'!C31</f>
        <v>2000</v>
      </c>
      <c r="S9" s="30">
        <f>+'Dia 17'!C31</f>
        <v>2000</v>
      </c>
      <c r="T9" s="30">
        <f>+'Dia 18'!C31</f>
        <v>0</v>
      </c>
      <c r="U9" s="30">
        <f>+'Dia 19'!C31</f>
        <v>0</v>
      </c>
      <c r="V9" s="30">
        <f>+'Dia 20'!C31</f>
        <v>0</v>
      </c>
      <c r="W9" s="30">
        <f>+'Dia 21'!C31</f>
        <v>0</v>
      </c>
      <c r="X9" s="30">
        <f>+'Dia 22'!C31</f>
        <v>2000</v>
      </c>
      <c r="Y9" s="30">
        <f>+'Dia 23'!C31</f>
        <v>0</v>
      </c>
      <c r="Z9" s="30">
        <f>+'Dia 24'!C31</f>
        <v>0</v>
      </c>
      <c r="AA9" s="30">
        <f>+'Dia 25'!C31</f>
        <v>0</v>
      </c>
      <c r="AB9" s="30">
        <f>+'Dia 26'!C31</f>
        <v>0</v>
      </c>
      <c r="AC9" s="30">
        <f>+'Dia 27'!C31</f>
        <v>0</v>
      </c>
      <c r="AD9" s="30">
        <f>+'Dia 28'!C31</f>
        <v>0</v>
      </c>
      <c r="AE9" s="30">
        <f>+'Dia 29'!C31</f>
        <v>0</v>
      </c>
      <c r="AF9" s="30">
        <f>+'Dia 30'!C31</f>
        <v>0</v>
      </c>
      <c r="AG9" s="30">
        <f>+'Dia 31'!C31</f>
        <v>0</v>
      </c>
      <c r="AH9" s="30">
        <f t="shared" si="0"/>
        <v>12000</v>
      </c>
    </row>
    <row r="10" spans="2:34">
      <c r="B10" s="3" t="s">
        <v>79</v>
      </c>
      <c r="C10" s="30">
        <f>+'Dia 1'!C32</f>
        <v>2000</v>
      </c>
      <c r="D10" s="30">
        <f>+'Dia 2'!C32</f>
        <v>2000</v>
      </c>
      <c r="E10" s="30">
        <f>+'Dia 3'!C32</f>
        <v>0</v>
      </c>
      <c r="F10" s="30">
        <f>+'Dia 4'!C32</f>
        <v>0</v>
      </c>
      <c r="G10" s="30">
        <f>+'Dia 5'!C32</f>
        <v>0</v>
      </c>
      <c r="H10" s="30">
        <f>+'Dia 6'!C32</f>
        <v>2000</v>
      </c>
      <c r="I10" s="30">
        <f>+'Dia 7'!C32</f>
        <v>0</v>
      </c>
      <c r="J10" s="30">
        <f>+'Dia 8'!C32</f>
        <v>2000</v>
      </c>
      <c r="K10" s="30">
        <f>+'Dia 9'!C32</f>
        <v>0</v>
      </c>
      <c r="L10" s="30">
        <f>+'Dia 10'!C32</f>
        <v>2000</v>
      </c>
      <c r="M10" s="30">
        <f>+'Dia 11'!C32</f>
        <v>2000</v>
      </c>
      <c r="N10" s="30">
        <f>+'Dia 12'!C32</f>
        <v>0</v>
      </c>
      <c r="O10" s="30">
        <f>+'Dia 13'!C32</f>
        <v>0</v>
      </c>
      <c r="P10" s="30">
        <f>+'Dia 14'!C32</f>
        <v>0</v>
      </c>
      <c r="Q10" s="30">
        <f>+'Dia 15'!C32</f>
        <v>0</v>
      </c>
      <c r="R10" s="30">
        <f>+'Dia 16'!C32</f>
        <v>0</v>
      </c>
      <c r="S10" s="30">
        <f>+'Dia 17'!C32</f>
        <v>0</v>
      </c>
      <c r="T10" s="30">
        <f>+'Dia 18'!C32</f>
        <v>2000</v>
      </c>
      <c r="U10" s="30">
        <f>+'Dia 19'!C32</f>
        <v>0</v>
      </c>
      <c r="V10" s="30">
        <f>+'Dia 20'!C32</f>
        <v>2000</v>
      </c>
      <c r="W10" s="30">
        <f>+'Dia 21'!C32</f>
        <v>0</v>
      </c>
      <c r="X10" s="30">
        <f>+'Dia 22'!C32</f>
        <v>0</v>
      </c>
      <c r="Y10" s="30">
        <f>+'Dia 23'!C32</f>
        <v>0</v>
      </c>
      <c r="Z10" s="30">
        <f>+'Dia 24'!C32</f>
        <v>0</v>
      </c>
      <c r="AA10" s="30">
        <f>+'Dia 25'!C32</f>
        <v>0</v>
      </c>
      <c r="AB10" s="30">
        <f>+'Dia 26'!C32</f>
        <v>0</v>
      </c>
      <c r="AC10" s="30">
        <f>+'Dia 27'!C32</f>
        <v>0</v>
      </c>
      <c r="AD10" s="30">
        <f>+'Dia 28'!C32</f>
        <v>0</v>
      </c>
      <c r="AE10" s="30">
        <f>+'Dia 29'!C32</f>
        <v>0</v>
      </c>
      <c r="AF10" s="30">
        <f>+'Dia 30'!C32</f>
        <v>0</v>
      </c>
      <c r="AG10" s="30">
        <f>+'Dia 31'!C32</f>
        <v>0</v>
      </c>
      <c r="AH10" s="30">
        <f t="shared" si="0"/>
        <v>16000</v>
      </c>
    </row>
    <row r="11" spans="2:34">
      <c r="B11" s="3" t="s">
        <v>80</v>
      </c>
      <c r="C11" s="30">
        <f>+'Dia 1'!C33</f>
        <v>0</v>
      </c>
      <c r="D11" s="30">
        <f>+'Dia 1'!D33</f>
        <v>0</v>
      </c>
      <c r="E11" s="30">
        <f>+'Dia 1'!E33</f>
        <v>0</v>
      </c>
      <c r="F11" s="30">
        <f>+'Dia 1'!F33</f>
        <v>0</v>
      </c>
      <c r="G11" s="30">
        <f>+'Dia 1'!G33</f>
        <v>0</v>
      </c>
      <c r="H11" s="30">
        <f>+'Dia 1'!H33</f>
        <v>0</v>
      </c>
      <c r="I11" s="30">
        <f>+'Dia 1'!I33</f>
        <v>0</v>
      </c>
      <c r="J11" s="30">
        <f>+'Dia 1'!J33</f>
        <v>0</v>
      </c>
      <c r="K11" s="30">
        <f>+'Dia 1'!K33</f>
        <v>0</v>
      </c>
      <c r="L11" s="30">
        <f>+'Dia 1'!L33</f>
        <v>0</v>
      </c>
      <c r="M11" s="30">
        <f>+'Dia 1'!M33</f>
        <v>0</v>
      </c>
      <c r="N11" s="30">
        <f>+'Dia 1'!N33</f>
        <v>0</v>
      </c>
      <c r="O11" s="30">
        <f>+'Dia 1'!O33</f>
        <v>0</v>
      </c>
      <c r="P11" s="30">
        <f>+'Dia 1'!P33</f>
        <v>0</v>
      </c>
      <c r="Q11" s="30">
        <f>+'Dia 1'!Q33</f>
        <v>0</v>
      </c>
      <c r="R11" s="30">
        <f>+'Dia 1'!R33</f>
        <v>0</v>
      </c>
      <c r="S11" s="30">
        <f>+'Dia 1'!S33</f>
        <v>0</v>
      </c>
      <c r="T11" s="30">
        <f>+'Dia 1'!T33</f>
        <v>0</v>
      </c>
      <c r="U11" s="30">
        <f>+'Dia 1'!U33</f>
        <v>0</v>
      </c>
      <c r="V11" s="30">
        <f>+'Dia 1'!V33</f>
        <v>0</v>
      </c>
      <c r="W11" s="30">
        <f>+'Dia 1'!W33</f>
        <v>0</v>
      </c>
      <c r="X11" s="30">
        <f>+'Dia 1'!X33</f>
        <v>0</v>
      </c>
      <c r="Y11" s="30">
        <f>+'Dia 1'!Y33</f>
        <v>0</v>
      </c>
      <c r="Z11" s="30">
        <f>+'Dia 1'!Z33</f>
        <v>0</v>
      </c>
      <c r="AA11" s="30">
        <f>+'Dia 1'!AA33</f>
        <v>0</v>
      </c>
      <c r="AB11" s="30">
        <f>+'Dia 1'!AB33</f>
        <v>0</v>
      </c>
      <c r="AC11" s="30">
        <f>+'Dia 1'!AC33</f>
        <v>0</v>
      </c>
      <c r="AD11" s="30">
        <f>+'Dia 1'!AD33</f>
        <v>0</v>
      </c>
      <c r="AE11" s="30">
        <f>+'Dia 1'!AE33</f>
        <v>0</v>
      </c>
      <c r="AF11" s="30">
        <f>+'Dia 1'!AF33</f>
        <v>0</v>
      </c>
      <c r="AG11" s="30">
        <f>+'Dia 1'!AG33</f>
        <v>0</v>
      </c>
      <c r="AH11" s="30">
        <f t="shared" si="0"/>
        <v>0</v>
      </c>
    </row>
    <row r="12" spans="2:34">
      <c r="B12" s="3" t="s">
        <v>81</v>
      </c>
      <c r="C12" s="30">
        <f>+'Dia 1'!C34</f>
        <v>0</v>
      </c>
      <c r="D12" s="30">
        <f>+'Dia 2'!C34</f>
        <v>0</v>
      </c>
      <c r="E12" s="30">
        <f>+'Dia 3'!C34</f>
        <v>0</v>
      </c>
      <c r="F12" s="30">
        <f>+'Dia 4'!C34</f>
        <v>0</v>
      </c>
      <c r="G12" s="30">
        <f>+'Dia 5'!C34</f>
        <v>0</v>
      </c>
      <c r="H12" s="30">
        <f>+'Dia 6'!C34</f>
        <v>0</v>
      </c>
      <c r="I12" s="30">
        <f>+'Dia 7'!C34</f>
        <v>0</v>
      </c>
      <c r="J12" s="30">
        <f>+'Dia 8'!C34</f>
        <v>0</v>
      </c>
      <c r="K12" s="30">
        <f>+'Dia 9'!C34</f>
        <v>0</v>
      </c>
      <c r="L12" s="30">
        <f>+'Dia 10'!C34</f>
        <v>0</v>
      </c>
      <c r="M12" s="30">
        <f>+'Dia 11'!C34</f>
        <v>0</v>
      </c>
      <c r="N12" s="30">
        <f>+'Dia 12'!C34</f>
        <v>0</v>
      </c>
      <c r="O12" s="30">
        <f>+'Dia 13'!C34</f>
        <v>0</v>
      </c>
      <c r="P12" s="30">
        <f>+'Dia 14'!C34</f>
        <v>0</v>
      </c>
      <c r="Q12" s="30">
        <f>+'Dia 15'!C34</f>
        <v>0</v>
      </c>
      <c r="R12" s="30">
        <f>+'Dia 16'!C34</f>
        <v>0</v>
      </c>
      <c r="S12" s="30">
        <f>+'Dia 17'!C34</f>
        <v>0</v>
      </c>
      <c r="T12" s="30">
        <f>+'Dia 18'!C34</f>
        <v>0</v>
      </c>
      <c r="U12" s="30">
        <f>+'Dia 19'!C34</f>
        <v>0</v>
      </c>
      <c r="V12" s="30">
        <f>+'Dia 20'!C34</f>
        <v>0</v>
      </c>
      <c r="W12" s="30">
        <f>+'Dia 21'!C34</f>
        <v>0</v>
      </c>
      <c r="X12" s="30">
        <f>+'Dia 22'!C34</f>
        <v>0</v>
      </c>
      <c r="Y12" s="30">
        <f>+'Dia 23'!C34</f>
        <v>0</v>
      </c>
      <c r="Z12" s="30">
        <f>+'Dia 24'!C34</f>
        <v>0</v>
      </c>
      <c r="AA12" s="30">
        <f>+'Dia 25'!C34</f>
        <v>0</v>
      </c>
      <c r="AB12" s="30">
        <f>+'Dia 26'!C34</f>
        <v>0</v>
      </c>
      <c r="AC12" s="30">
        <f>+'Dia 27'!C34</f>
        <v>0</v>
      </c>
      <c r="AD12" s="30">
        <f>+'Dia 28'!C34</f>
        <v>0</v>
      </c>
      <c r="AE12" s="30">
        <f>+'Dia 29'!C34</f>
        <v>0</v>
      </c>
      <c r="AF12" s="30">
        <f>+'Dia 30'!C34</f>
        <v>0</v>
      </c>
      <c r="AG12" s="30">
        <f>+'Dia 31'!C34</f>
        <v>0</v>
      </c>
      <c r="AH12" s="30">
        <f t="shared" si="0"/>
        <v>0</v>
      </c>
    </row>
    <row r="13" spans="2:34">
      <c r="B13" s="3" t="s">
        <v>82</v>
      </c>
      <c r="C13" s="30">
        <f>+'Dia 1'!C35</f>
        <v>0</v>
      </c>
      <c r="D13" s="30">
        <f>+'Dia 1'!D35</f>
        <v>0</v>
      </c>
      <c r="E13" s="30">
        <f>+'Dia 1'!E35</f>
        <v>0</v>
      </c>
      <c r="F13" s="30">
        <f>+'Dia 1'!F35</f>
        <v>0</v>
      </c>
      <c r="G13" s="30">
        <f>+'Dia 1'!G35</f>
        <v>0</v>
      </c>
      <c r="H13" s="30">
        <f>+'Dia 1'!H35</f>
        <v>0</v>
      </c>
      <c r="I13" s="30">
        <f>+'Dia 1'!I35</f>
        <v>0</v>
      </c>
      <c r="J13" s="30">
        <f>+'Dia 1'!J35</f>
        <v>0</v>
      </c>
      <c r="K13" s="30">
        <f>+'Dia 1'!K35</f>
        <v>0</v>
      </c>
      <c r="L13" s="30">
        <f>+'Dia 1'!L35</f>
        <v>0</v>
      </c>
      <c r="M13" s="30">
        <f>+'Dia 1'!M35</f>
        <v>0</v>
      </c>
      <c r="N13" s="30">
        <f>+'Dia 1'!N35</f>
        <v>0</v>
      </c>
      <c r="O13" s="30">
        <f>+'Dia 1'!O35</f>
        <v>0</v>
      </c>
      <c r="P13" s="30">
        <f>+'Dia 1'!P35</f>
        <v>0</v>
      </c>
      <c r="Q13" s="30">
        <f>+'Dia 1'!Q35</f>
        <v>0</v>
      </c>
      <c r="R13" s="30">
        <f>+'Dia 1'!R35</f>
        <v>0</v>
      </c>
      <c r="S13" s="30">
        <f>+'Dia 1'!S35</f>
        <v>0</v>
      </c>
      <c r="T13" s="30">
        <f>+'Dia 1'!T35</f>
        <v>0</v>
      </c>
      <c r="U13" s="30">
        <f>+'Dia 1'!U35</f>
        <v>0</v>
      </c>
      <c r="V13" s="30">
        <f>+'Dia 1'!V35</f>
        <v>0</v>
      </c>
      <c r="W13" s="30">
        <f>+'Dia 1'!W35</f>
        <v>0</v>
      </c>
      <c r="X13" s="30">
        <f>+'Dia 1'!X35</f>
        <v>0</v>
      </c>
      <c r="Y13" s="30">
        <f>+'Dia 1'!Y35</f>
        <v>0</v>
      </c>
      <c r="Z13" s="30">
        <f>+'Dia 1'!Z35</f>
        <v>0</v>
      </c>
      <c r="AA13" s="30">
        <f>+'Dia 1'!AA35</f>
        <v>0</v>
      </c>
      <c r="AB13" s="30">
        <f>+'Dia 1'!AB35</f>
        <v>0</v>
      </c>
      <c r="AC13" s="30">
        <f>+'Dia 1'!AC35</f>
        <v>0</v>
      </c>
      <c r="AD13" s="30">
        <f>+'Dia 1'!AD35</f>
        <v>0</v>
      </c>
      <c r="AE13" s="30">
        <f>+'Dia 1'!AE35</f>
        <v>0</v>
      </c>
      <c r="AF13" s="30">
        <f>+'Dia 1'!AF35</f>
        <v>0</v>
      </c>
      <c r="AG13" s="30">
        <f>+'Dia 1'!AG35</f>
        <v>0</v>
      </c>
      <c r="AH13" s="30">
        <f t="shared" si="0"/>
        <v>0</v>
      </c>
    </row>
    <row r="14" spans="2:34">
      <c r="B14" s="31">
        <v>0.02</v>
      </c>
      <c r="C14" s="30">
        <f>+'Dia 1'!C37</f>
        <v>3438</v>
      </c>
      <c r="D14" s="30">
        <f>+'Dia 2'!C37</f>
        <v>2853</v>
      </c>
      <c r="E14" s="30">
        <f>+'Dia 3'!E37</f>
        <v>0</v>
      </c>
      <c r="F14" s="30">
        <f>+'Dia 4'!F37</f>
        <v>0</v>
      </c>
      <c r="G14" s="30">
        <f>+'Dia 5'!G37</f>
        <v>0</v>
      </c>
      <c r="H14" s="30">
        <f>+'Dia 6'!H37</f>
        <v>0</v>
      </c>
      <c r="I14" s="30">
        <f>+'Dia 7'!I37</f>
        <v>0</v>
      </c>
      <c r="J14" s="30">
        <f>+'Dia 8'!J37</f>
        <v>0</v>
      </c>
      <c r="K14" s="30">
        <f>+'Dia 9'!K37</f>
        <v>0</v>
      </c>
      <c r="L14" s="30">
        <f>+'Dia 10'!L37</f>
        <v>0</v>
      </c>
      <c r="M14" s="30">
        <f>+'Dia 11'!M37</f>
        <v>0</v>
      </c>
      <c r="N14" s="30">
        <f>+'Dia 12'!N37</f>
        <v>0</v>
      </c>
      <c r="O14" s="30">
        <f>+'Dia 13'!O37</f>
        <v>0</v>
      </c>
      <c r="P14" s="30">
        <f>+'Dia 14'!P37</f>
        <v>0</v>
      </c>
      <c r="Q14" s="30">
        <f>+'Dia 15'!Q37</f>
        <v>0</v>
      </c>
      <c r="R14" s="30">
        <f>+'Dia 1'!R37</f>
        <v>0</v>
      </c>
      <c r="S14" s="30">
        <f>+'Dia 1'!S37</f>
        <v>0</v>
      </c>
      <c r="T14" s="30">
        <f>+'Dia 1'!T37</f>
        <v>0</v>
      </c>
      <c r="U14" s="30">
        <f>+'Dia 1'!U37</f>
        <v>0</v>
      </c>
      <c r="V14" s="30">
        <f>+'Dia 1'!V37</f>
        <v>0</v>
      </c>
      <c r="W14" s="30">
        <f>+'Dia 1'!W37</f>
        <v>0</v>
      </c>
      <c r="X14" s="30">
        <f>+'Dia 1'!X37</f>
        <v>0</v>
      </c>
      <c r="Y14" s="30">
        <f>+'Dia 1'!Y37</f>
        <v>0</v>
      </c>
      <c r="Z14" s="30">
        <f>+'Dia 1'!Z37</f>
        <v>0</v>
      </c>
      <c r="AA14" s="30">
        <f>+'Dia 1'!AA37</f>
        <v>0</v>
      </c>
      <c r="AB14" s="30">
        <f>+'Dia 1'!AB37</f>
        <v>0</v>
      </c>
      <c r="AC14" s="30">
        <f>+'Dia 1'!AC37</f>
        <v>0</v>
      </c>
      <c r="AD14" s="30">
        <f>+'Dia 1'!AD37</f>
        <v>0</v>
      </c>
      <c r="AE14" s="30">
        <f>+'Dia 1'!AE37</f>
        <v>0</v>
      </c>
      <c r="AF14" s="30">
        <f>+'Dia 1'!AF37</f>
        <v>0</v>
      </c>
      <c r="AG14" s="30">
        <f>+'Dia 1'!AG37</f>
        <v>0</v>
      </c>
      <c r="AH14" s="30">
        <f t="shared" si="0"/>
        <v>6291</v>
      </c>
    </row>
    <row r="15" spans="3:34">
      <c r="C15" s="30">
        <f>SUM(C6:C14)</f>
        <v>7438</v>
      </c>
      <c r="D15" s="30">
        <f t="shared" ref="D15:AG15" si="1">SUM(D6:D14)</f>
        <v>6853</v>
      </c>
      <c r="E15" s="30">
        <f t="shared" si="1"/>
        <v>2000</v>
      </c>
      <c r="F15" s="30">
        <f t="shared" si="1"/>
        <v>4000</v>
      </c>
      <c r="G15" s="30">
        <f t="shared" si="1"/>
        <v>4000</v>
      </c>
      <c r="H15" s="30">
        <f t="shared" si="1"/>
        <v>4000</v>
      </c>
      <c r="I15" s="30">
        <f t="shared" si="1"/>
        <v>0</v>
      </c>
      <c r="J15" s="30">
        <f t="shared" si="1"/>
        <v>4000</v>
      </c>
      <c r="K15" s="30">
        <f t="shared" si="1"/>
        <v>4000</v>
      </c>
      <c r="L15" s="30">
        <f t="shared" si="1"/>
        <v>4000</v>
      </c>
      <c r="M15" s="30">
        <f t="shared" si="1"/>
        <v>4000</v>
      </c>
      <c r="N15" s="30">
        <f t="shared" si="1"/>
        <v>4000</v>
      </c>
      <c r="O15" s="30">
        <f t="shared" si="1"/>
        <v>4000</v>
      </c>
      <c r="P15" s="30">
        <f t="shared" si="1"/>
        <v>4000</v>
      </c>
      <c r="Q15" s="30">
        <f t="shared" si="1"/>
        <v>4000</v>
      </c>
      <c r="R15" s="30">
        <f t="shared" si="1"/>
        <v>4000</v>
      </c>
      <c r="S15" s="30">
        <f t="shared" si="1"/>
        <v>4000</v>
      </c>
      <c r="T15" s="30">
        <f t="shared" si="1"/>
        <v>4000</v>
      </c>
      <c r="U15" s="30">
        <f t="shared" si="1"/>
        <v>0</v>
      </c>
      <c r="V15" s="30">
        <f t="shared" si="1"/>
        <v>4000</v>
      </c>
      <c r="W15" s="30">
        <f t="shared" si="1"/>
        <v>0</v>
      </c>
      <c r="X15" s="30">
        <f t="shared" si="1"/>
        <v>4000</v>
      </c>
      <c r="Y15" s="30">
        <f t="shared" si="1"/>
        <v>0</v>
      </c>
      <c r="Z15" s="30">
        <f t="shared" si="1"/>
        <v>0</v>
      </c>
      <c r="AA15" s="30">
        <f t="shared" si="1"/>
        <v>0</v>
      </c>
      <c r="AB15" s="30">
        <f t="shared" si="1"/>
        <v>0</v>
      </c>
      <c r="AC15" s="30">
        <f t="shared" si="1"/>
        <v>0</v>
      </c>
      <c r="AD15" s="30">
        <f t="shared" si="1"/>
        <v>0</v>
      </c>
      <c r="AE15" s="30">
        <f t="shared" si="1"/>
        <v>0</v>
      </c>
      <c r="AF15" s="30">
        <f t="shared" si="1"/>
        <v>0</v>
      </c>
      <c r="AG15" s="30">
        <f t="shared" si="1"/>
        <v>0</v>
      </c>
      <c r="AH15" s="30">
        <f t="shared" si="0"/>
        <v>80291</v>
      </c>
    </row>
    <row r="17" spans="3:33">
      <c r="C17" s="30">
        <f>+'Dia 1'!C41</f>
        <v>0</v>
      </c>
      <c r="D17" s="30">
        <f>+'Dia 2'!C40</f>
        <v>0</v>
      </c>
      <c r="E17" s="30">
        <f>+'Dia 3'!C40</f>
        <v>0</v>
      </c>
      <c r="F17" s="30">
        <f>+'Dia 4'!C40</f>
        <v>0</v>
      </c>
      <c r="G17" s="30">
        <f>+'Dia 5'!C40</f>
        <v>0</v>
      </c>
      <c r="H17" s="30">
        <f>+'Dia 6'!C40</f>
        <v>0</v>
      </c>
      <c r="I17" s="30">
        <f>+'Dia 7'!C40</f>
        <v>0</v>
      </c>
      <c r="J17" s="30">
        <f>+'Dia 8'!C40</f>
        <v>0</v>
      </c>
      <c r="K17" s="30">
        <f>+'Dia 9'!C40</f>
        <v>0</v>
      </c>
      <c r="L17" s="30">
        <f>+'Dia 10'!C40</f>
        <v>0</v>
      </c>
      <c r="M17" s="30">
        <f>+'Dia 11'!C40</f>
        <v>0</v>
      </c>
      <c r="N17" s="30">
        <f>+'Dia 12'!C40</f>
        <v>0</v>
      </c>
      <c r="O17" s="30">
        <f>+'Dia 13'!C40</f>
        <v>0</v>
      </c>
      <c r="P17" s="30">
        <f>+'Dia 14'!C40</f>
        <v>0</v>
      </c>
      <c r="Q17" s="30">
        <f>+'Dia 15'!C40</f>
        <v>0</v>
      </c>
      <c r="R17" s="30">
        <f>+'Dia 16'!C40</f>
        <v>0</v>
      </c>
      <c r="S17" s="30">
        <f>+'Dia 17'!C40</f>
        <v>0</v>
      </c>
      <c r="T17" s="30">
        <f>+'Dia 18'!C40</f>
        <v>0</v>
      </c>
      <c r="U17" s="30">
        <f>+'Dia 19'!C40</f>
        <v>0</v>
      </c>
      <c r="V17" s="30">
        <f>+'Dia 20'!C40</f>
        <v>0</v>
      </c>
      <c r="W17" s="30">
        <f>+'Dia 21'!C40</f>
        <v>0</v>
      </c>
      <c r="X17" s="30">
        <f>+'Dia 22'!C40</f>
        <v>0</v>
      </c>
      <c r="Y17" s="30">
        <f>+'Dia 23'!C40</f>
        <v>0</v>
      </c>
      <c r="Z17" s="30">
        <f>+'Dia 24'!C40</f>
        <v>0</v>
      </c>
      <c r="AA17" s="30">
        <f>+'Dia 25'!C40</f>
        <v>0</v>
      </c>
      <c r="AB17" s="30">
        <f>+'Dia 26'!C40</f>
        <v>0</v>
      </c>
      <c r="AC17" s="30">
        <f>+'Dia 27'!C40</f>
        <v>0</v>
      </c>
      <c r="AD17" s="30">
        <f>+'Dia 28'!C40</f>
        <v>0</v>
      </c>
      <c r="AE17" s="30">
        <f>+'Dia 29'!C40</f>
        <v>0</v>
      </c>
      <c r="AF17" s="30">
        <f>+'Dia 30'!C40</f>
        <v>0</v>
      </c>
      <c r="AG17" s="30">
        <f>+'Dia 31'!C40</f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8"/>
  <sheetViews>
    <sheetView topLeftCell="A7" workbookViewId="0">
      <selection activeCell="C37" sqref="C37"/>
    </sheetView>
  </sheetViews>
  <sheetFormatPr defaultColWidth="11" defaultRowHeight="14"/>
  <cols>
    <col min="2" max="2" width="25.6640625" customWidth="1"/>
    <col min="3" max="3" width="21.3359375" customWidth="1"/>
    <col min="4" max="4" width="22.65625" customWidth="1"/>
    <col min="5" max="5" width="14.5546875" customWidth="1"/>
    <col min="6" max="6" width="15.4453125" customWidth="1"/>
    <col min="7" max="7" width="17.3359375" customWidth="1"/>
    <col min="8" max="8" width="31" customWidth="1"/>
  </cols>
  <sheetData>
    <row r="1" spans="2:2">
      <c r="B1" t="s">
        <v>83</v>
      </c>
    </row>
    <row r="2" spans="4:6">
      <c r="D2">
        <v>450</v>
      </c>
      <c r="E2">
        <v>440</v>
      </c>
      <c r="F2">
        <v>450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84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382</v>
      </c>
      <c r="G4" s="4">
        <v>0</v>
      </c>
      <c r="H4" s="4">
        <v>0</v>
      </c>
      <c r="I4" s="4">
        <f>+C4+E5+F5+G4+H4+D5</f>
        <v>171900</v>
      </c>
      <c r="J4" s="3">
        <f>+I4/F2</f>
        <v>382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171900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171900</v>
      </c>
    </row>
    <row r="9" spans="2:3">
      <c r="B9" s="19" t="s">
        <v>88</v>
      </c>
      <c r="C9" s="20"/>
    </row>
    <row r="10" spans="2:4">
      <c r="B10" s="3" t="s">
        <v>89</v>
      </c>
      <c r="C10" s="4">
        <f>+C42</f>
        <v>7438</v>
      </c>
      <c r="D10" s="21"/>
    </row>
    <row r="11" spans="2:4">
      <c r="B11" s="3" t="s">
        <v>5</v>
      </c>
      <c r="C11" s="4">
        <v>0</v>
      </c>
      <c r="D11" s="21"/>
    </row>
    <row r="12" spans="2:4">
      <c r="B12" s="3" t="s">
        <v>7</v>
      </c>
      <c r="C12" s="4">
        <v>0</v>
      </c>
      <c r="D12" s="22"/>
    </row>
    <row r="13" spans="2:4">
      <c r="B13" s="3" t="s">
        <v>9</v>
      </c>
      <c r="C13" s="4">
        <v>0</v>
      </c>
      <c r="D13" s="21"/>
    </row>
    <row r="14" spans="2:4">
      <c r="B14" s="3" t="s">
        <v>11</v>
      </c>
      <c r="C14" s="4">
        <v>0</v>
      </c>
      <c r="D14" s="21"/>
    </row>
    <row r="15" spans="2:4">
      <c r="B15" s="3" t="s">
        <v>14</v>
      </c>
      <c r="C15" s="4">
        <v>650</v>
      </c>
      <c r="D15" s="21"/>
    </row>
    <row r="16" spans="2:4">
      <c r="B16" s="3" t="s">
        <v>16</v>
      </c>
      <c r="C16" s="4">
        <f>D16*F2</f>
        <v>67500</v>
      </c>
      <c r="D16" s="21">
        <v>150</v>
      </c>
    </row>
    <row r="17" spans="2:4">
      <c r="B17" s="3" t="s">
        <v>18</v>
      </c>
      <c r="C17" s="4">
        <f>D17*F2+9000</f>
        <v>24750</v>
      </c>
      <c r="D17" s="21">
        <v>35</v>
      </c>
    </row>
    <row r="18" spans="2:3">
      <c r="B18" s="3" t="s">
        <v>20</v>
      </c>
      <c r="C18" s="4">
        <v>0</v>
      </c>
    </row>
    <row r="19" spans="2:3">
      <c r="B19" s="3" t="s">
        <v>22</v>
      </c>
      <c r="C19" s="4">
        <v>7000</v>
      </c>
    </row>
    <row r="20" spans="2:3">
      <c r="B20" s="3" t="s">
        <v>24</v>
      </c>
      <c r="C20" s="4">
        <v>0</v>
      </c>
    </row>
    <row r="21" spans="2:3">
      <c r="B21" s="3" t="s">
        <v>12</v>
      </c>
      <c r="C21" s="4">
        <v>0</v>
      </c>
    </row>
    <row r="22" spans="2:3">
      <c r="B22" s="3" t="s">
        <v>26</v>
      </c>
      <c r="C22" s="4">
        <v>0</v>
      </c>
    </row>
    <row r="23" spans="2:3">
      <c r="B23" s="3" t="s">
        <v>28</v>
      </c>
      <c r="C23" s="4">
        <v>0</v>
      </c>
    </row>
    <row r="24" spans="2:3">
      <c r="B24" s="1" t="s">
        <v>90</v>
      </c>
      <c r="C24" s="2">
        <f>SUM(C10:C23)</f>
        <v>107338</v>
      </c>
    </row>
    <row r="27" spans="2:3">
      <c r="B27" s="19" t="s">
        <v>3</v>
      </c>
      <c r="C27" s="20"/>
    </row>
    <row r="28" spans="2:3">
      <c r="B28" s="3" t="s">
        <v>75</v>
      </c>
      <c r="C28" s="4">
        <v>2000</v>
      </c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>
        <v>2000</v>
      </c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3438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7438</v>
      </c>
    </row>
    <row r="43" spans="2:3">
      <c r="B43" s="24"/>
      <c r="C43" s="25"/>
    </row>
    <row r="48" spans="5:5">
      <c r="E48" s="22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A11" workbookViewId="0">
      <selection activeCell="E22" sqref="E22"/>
    </sheetView>
  </sheetViews>
  <sheetFormatPr defaultColWidth="11" defaultRowHeight="14"/>
  <cols>
    <col min="2" max="2" width="23.890625" customWidth="1"/>
    <col min="3" max="3" width="21.3359375" customWidth="1"/>
    <col min="4" max="4" width="21.2265625" customWidth="1"/>
    <col min="5" max="6" width="15.5546875" customWidth="1"/>
    <col min="7" max="7" width="16.5546875" customWidth="1"/>
    <col min="8" max="8" width="31.3359375" customWidth="1"/>
  </cols>
  <sheetData>
    <row r="1" spans="2:2">
      <c r="B1" t="s">
        <v>92</v>
      </c>
    </row>
    <row r="2" spans="4:6">
      <c r="D2">
        <v>440</v>
      </c>
      <c r="E2">
        <v>440</v>
      </c>
      <c r="F2">
        <v>450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84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232</v>
      </c>
      <c r="G4" s="4">
        <v>38250</v>
      </c>
      <c r="H4" s="4">
        <v>0</v>
      </c>
      <c r="I4" s="4">
        <f>+C4+E5+F5+G4+H4+D5</f>
        <v>142650</v>
      </c>
      <c r="J4" s="3">
        <f>+I4/F2</f>
        <v>317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104400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142650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6853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6853</v>
      </c>
    </row>
    <row r="27" spans="2:3">
      <c r="B27" s="19" t="s">
        <v>3</v>
      </c>
      <c r="C27" s="20"/>
    </row>
    <row r="28" spans="2:3">
      <c r="B28" s="3" t="s">
        <v>75</v>
      </c>
      <c r="C28" s="4">
        <v>2000</v>
      </c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>
        <v>2000</v>
      </c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2853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6853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F5" sqref="F5"/>
    </sheetView>
  </sheetViews>
  <sheetFormatPr defaultColWidth="11" defaultRowHeight="14"/>
  <cols>
    <col min="2" max="2" width="24.445312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93</v>
      </c>
    </row>
    <row r="2" spans="4:6">
      <c r="D2">
        <v>440</v>
      </c>
      <c r="E2">
        <v>440</v>
      </c>
      <c r="F2">
        <v>450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50</v>
      </c>
      <c r="F4" s="4">
        <v>174.48</v>
      </c>
      <c r="G4" s="4">
        <v>0</v>
      </c>
      <c r="H4" s="4">
        <v>0</v>
      </c>
      <c r="I4" s="4">
        <f>+C4+E5+F5+G4+H4+D5</f>
        <v>100516</v>
      </c>
      <c r="J4" s="3">
        <f>+I4/F2</f>
        <v>223.368888888889</v>
      </c>
    </row>
    <row r="5" spans="2:9">
      <c r="B5" s="17"/>
      <c r="C5" s="18"/>
      <c r="D5" s="4">
        <f>+D4*D2</f>
        <v>0</v>
      </c>
      <c r="E5" s="4">
        <f>+E4*E2</f>
        <v>22000</v>
      </c>
      <c r="F5" s="4">
        <f>+F4*F2</f>
        <v>78516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100516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4010.32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4010.32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>
        <v>2000</v>
      </c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2010.32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4010.32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zoomScale="102" zoomScaleNormal="102" topLeftCell="C1" workbookViewId="0">
      <selection activeCell="F17" sqref="F17"/>
    </sheetView>
  </sheetViews>
  <sheetFormatPr defaultColWidth="11" defaultRowHeight="14"/>
  <cols>
    <col min="2" max="2" width="23.3359375" customWidth="1"/>
    <col min="3" max="3" width="21.3359375" customWidth="1"/>
    <col min="4" max="4" width="24.34375" customWidth="1"/>
    <col min="5" max="7" width="17.3359375" customWidth="1"/>
    <col min="8" max="8" width="34.9375" customWidth="1"/>
  </cols>
  <sheetData>
    <row r="1" spans="2:2">
      <c r="B1" t="s">
        <v>94</v>
      </c>
    </row>
    <row r="2" spans="4:6">
      <c r="D2">
        <v>440</v>
      </c>
      <c r="E2">
        <v>440</v>
      </c>
      <c r="F2">
        <v>450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84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201</v>
      </c>
      <c r="G4" s="4">
        <v>7950</v>
      </c>
      <c r="H4" s="4">
        <v>7800</v>
      </c>
      <c r="I4" s="4">
        <f>+C4+E5+F5+G4+H4+D5</f>
        <v>106200</v>
      </c>
      <c r="J4" s="3">
        <f>+I4/F2</f>
        <v>236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90450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106200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15124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15124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>
        <v>2000</v>
      </c>
    </row>
    <row r="31" spans="2:3">
      <c r="B31" s="3" t="s">
        <v>78</v>
      </c>
      <c r="C31" s="4">
        <v>2000</v>
      </c>
    </row>
    <row r="32" spans="2:3">
      <c r="B32" s="3" t="s">
        <v>79</v>
      </c>
      <c r="C32" s="4"/>
    </row>
    <row r="33" spans="2:4">
      <c r="B33" s="3" t="s">
        <v>80</v>
      </c>
      <c r="C33" s="4">
        <f>D33*F2</f>
        <v>9000</v>
      </c>
      <c r="D33">
        <v>20</v>
      </c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2124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15124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D13" sqref="D13"/>
    </sheetView>
  </sheetViews>
  <sheetFormatPr defaultColWidth="11" defaultRowHeight="14"/>
  <cols>
    <col min="2" max="2" width="23.109375" customWidth="1"/>
    <col min="3" max="3" width="21.3359375" customWidth="1"/>
    <col min="4" max="4" width="19.890625" customWidth="1"/>
    <col min="5" max="7" width="17.3359375" customWidth="1"/>
    <col min="8" max="8" width="34.9375" customWidth="1"/>
    <col min="10" max="10" width="13.875"/>
  </cols>
  <sheetData>
    <row r="1" spans="2:2">
      <c r="B1" t="s">
        <v>95</v>
      </c>
    </row>
    <row r="2" spans="4:6">
      <c r="D2">
        <v>440</v>
      </c>
      <c r="E2">
        <v>440</v>
      </c>
      <c r="F2">
        <v>450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84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399</v>
      </c>
      <c r="G4" s="4">
        <v>33250</v>
      </c>
      <c r="H4" s="4">
        <v>8740</v>
      </c>
      <c r="I4" s="4">
        <f>+C4+E5+F5+G4+H4+D5</f>
        <v>221540</v>
      </c>
      <c r="J4" s="29">
        <f>+I4/F2</f>
        <v>492.311111111111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179550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221540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8430.8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>
        <v>1000</v>
      </c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9430.8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>
        <v>2000</v>
      </c>
    </row>
    <row r="30" spans="2:3">
      <c r="B30" s="3" t="s">
        <v>77</v>
      </c>
      <c r="C30" s="4"/>
    </row>
    <row r="31" spans="2:3">
      <c r="B31" s="3" t="s">
        <v>78</v>
      </c>
      <c r="C31" s="4">
        <v>2000</v>
      </c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4430.8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8430.8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C4" sqref="C4"/>
    </sheetView>
  </sheetViews>
  <sheetFormatPr defaultColWidth="11" defaultRowHeight="14"/>
  <cols>
    <col min="2" max="2" width="22.890625" customWidth="1"/>
    <col min="3" max="3" width="21.3359375" customWidth="1"/>
    <col min="4" max="4" width="19.890625" customWidth="1"/>
    <col min="5" max="7" width="17.3359375" customWidth="1"/>
    <col min="8" max="8" width="34.9375" customWidth="1"/>
  </cols>
  <sheetData>
    <row r="1" spans="2:2">
      <c r="B1" t="s">
        <v>96</v>
      </c>
    </row>
    <row r="2" spans="4:6">
      <c r="D2">
        <v>440</v>
      </c>
      <c r="E2">
        <v>440</v>
      </c>
      <c r="F2">
        <v>450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97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22500</v>
      </c>
      <c r="D4" s="16">
        <v>0</v>
      </c>
      <c r="E4" s="4">
        <v>0</v>
      </c>
      <c r="F4" s="4">
        <v>421</v>
      </c>
      <c r="G4" s="4">
        <v>49800</v>
      </c>
      <c r="H4" s="4">
        <v>10000</v>
      </c>
      <c r="I4" s="4">
        <f>+C4+E5+F5+G4+H4+D5</f>
        <v>271750</v>
      </c>
      <c r="J4" s="3">
        <f>+I4/F2</f>
        <v>603.888888888889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189450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271750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31935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31935</v>
      </c>
    </row>
    <row r="27" spans="2:3">
      <c r="B27" s="19" t="s">
        <v>3</v>
      </c>
      <c r="C27" s="20"/>
    </row>
    <row r="28" spans="2:3">
      <c r="B28" s="3" t="s">
        <v>75</v>
      </c>
      <c r="C28" s="4">
        <v>2000</v>
      </c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>
        <v>2000</v>
      </c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4">
      <c r="B36" s="3" t="s">
        <v>98</v>
      </c>
      <c r="C36" s="4">
        <f>D36*F2</f>
        <v>22500</v>
      </c>
      <c r="D36">
        <v>50</v>
      </c>
    </row>
    <row r="37" spans="2:3">
      <c r="B37" s="23">
        <v>0.02</v>
      </c>
      <c r="C37" s="4">
        <f>+I4*0.02</f>
        <v>5435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31935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F1" workbookViewId="0">
      <selection activeCell="D37" sqref="D37"/>
    </sheetView>
  </sheetViews>
  <sheetFormatPr defaultColWidth="11" defaultRowHeight="14"/>
  <cols>
    <col min="2" max="2" width="23.109375" customWidth="1"/>
    <col min="3" max="3" width="21.3359375" customWidth="1"/>
    <col min="4" max="4" width="19.890625" customWidth="1"/>
    <col min="5" max="7" width="17.3359375" customWidth="1"/>
    <col min="8" max="8" width="34.9375" customWidth="1"/>
    <col min="9" max="9" width="14.3359375" customWidth="1"/>
  </cols>
  <sheetData>
    <row r="1" spans="2:2">
      <c r="B1" t="s">
        <v>99</v>
      </c>
    </row>
    <row r="2" spans="4:6">
      <c r="D2">
        <v>440</v>
      </c>
      <c r="E2">
        <v>440</v>
      </c>
      <c r="F2">
        <v>445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97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134</v>
      </c>
      <c r="G4" s="4">
        <v>50730</v>
      </c>
      <c r="H4" s="4">
        <v>0</v>
      </c>
      <c r="I4" s="4">
        <f>+C4+E5+F5+G4+H4+D5</f>
        <v>110360</v>
      </c>
      <c r="J4" s="3">
        <f>+I4/F2</f>
        <v>248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59630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110360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2207.2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2207.2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2207.2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2207.2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E1" workbookViewId="0">
      <selection activeCell="G8" sqref="G8"/>
    </sheetView>
  </sheetViews>
  <sheetFormatPr defaultColWidth="11" defaultRowHeight="14"/>
  <cols>
    <col min="2" max="2" width="23.6640625" customWidth="1"/>
    <col min="3" max="3" width="21.3359375" customWidth="1"/>
    <col min="4" max="4" width="19.890625" customWidth="1"/>
    <col min="5" max="7" width="17.3359375" customWidth="1"/>
    <col min="8" max="8" width="34.9375" customWidth="1"/>
  </cols>
  <sheetData>
    <row r="1" spans="2:2">
      <c r="B1" t="s">
        <v>100</v>
      </c>
    </row>
    <row r="2" spans="4:6">
      <c r="D2">
        <v>440</v>
      </c>
      <c r="E2">
        <v>440</v>
      </c>
      <c r="F2">
        <v>445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84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445</v>
      </c>
      <c r="G4" s="4">
        <v>37505</v>
      </c>
      <c r="H4" s="4">
        <v>0</v>
      </c>
      <c r="I4" s="4">
        <f>+C4+E5+F5+G4+H4+D5</f>
        <v>235530</v>
      </c>
      <c r="J4" s="3">
        <f>+I4/F2</f>
        <v>529.280898876405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198025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235530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8710.6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8710.6</v>
      </c>
    </row>
    <row r="27" spans="2:3">
      <c r="B27" s="19" t="s">
        <v>3</v>
      </c>
      <c r="C27" s="20"/>
    </row>
    <row r="28" spans="2:3">
      <c r="B28" s="3" t="s">
        <v>75</v>
      </c>
      <c r="C28" s="4">
        <v>2000</v>
      </c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>
        <v>2000</v>
      </c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4710.6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8710.6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F1" workbookViewId="0">
      <selection activeCell="D36" sqref="D36"/>
    </sheetView>
  </sheetViews>
  <sheetFormatPr defaultColWidth="11" defaultRowHeight="14"/>
  <cols>
    <col min="2" max="2" width="24" customWidth="1"/>
    <col min="3" max="3" width="21.3359375" customWidth="1"/>
    <col min="4" max="4" width="19.890625" customWidth="1"/>
    <col min="5" max="7" width="17.3359375" customWidth="1"/>
    <col min="8" max="8" width="34.9375" customWidth="1"/>
  </cols>
  <sheetData>
    <row r="1" spans="2:2">
      <c r="B1" t="s">
        <v>101</v>
      </c>
    </row>
    <row r="2" spans="4:6">
      <c r="D2">
        <v>440</v>
      </c>
      <c r="E2">
        <v>440</v>
      </c>
      <c r="F2">
        <v>445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84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112</v>
      </c>
      <c r="G4" s="4">
        <v>37825</v>
      </c>
      <c r="H4" s="4">
        <v>0</v>
      </c>
      <c r="I4" s="4">
        <f>+C4+E5+F5+G4+H4+D5</f>
        <v>87665</v>
      </c>
      <c r="J4" s="3">
        <f>+I4/F2</f>
        <v>197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49840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87665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7153.3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7153.3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>
        <v>2000</v>
      </c>
    </row>
    <row r="30" spans="2:3">
      <c r="B30" s="3" t="s">
        <v>77</v>
      </c>
      <c r="C30" s="4">
        <v>2000</v>
      </c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 t="s">
        <v>12</v>
      </c>
      <c r="C36" s="4">
        <v>1400</v>
      </c>
    </row>
    <row r="37" spans="2:3">
      <c r="B37" s="23">
        <v>0.02</v>
      </c>
      <c r="C37" s="4">
        <f>+I4*0.02</f>
        <v>1753.3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7153.3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A11" workbookViewId="0">
      <selection activeCell="D22" sqref="D22"/>
    </sheetView>
  </sheetViews>
  <sheetFormatPr defaultColWidth="11" defaultRowHeight="14"/>
  <cols>
    <col min="2" max="2" width="23.445312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102</v>
      </c>
    </row>
    <row r="2" spans="4:6">
      <c r="D2">
        <v>440</v>
      </c>
      <c r="E2">
        <v>440</v>
      </c>
      <c r="F2">
        <v>445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84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275</v>
      </c>
      <c r="G4" s="4">
        <v>32550</v>
      </c>
      <c r="H4" s="4">
        <v>0</v>
      </c>
      <c r="I4" s="4">
        <f>+C4+E5+F5+G4+H4+D5</f>
        <v>154925</v>
      </c>
      <c r="J4" s="3">
        <f>+I4/F2</f>
        <v>348.14606741573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122375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154925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7098.5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7098.5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>
        <v>2000</v>
      </c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>
        <v>2000</v>
      </c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3098.5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7098.5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F12" sqref="F12"/>
    </sheetView>
  </sheetViews>
  <sheetFormatPr defaultColWidth="11" defaultRowHeight="14"/>
  <cols>
    <col min="2" max="2" width="22.3359375" customWidth="1"/>
    <col min="3" max="3" width="21.3359375" customWidth="1"/>
    <col min="4" max="4" width="19.890625" customWidth="1"/>
    <col min="5" max="7" width="17.3359375" customWidth="1"/>
    <col min="8" max="8" width="34.9375" customWidth="1"/>
  </cols>
  <sheetData>
    <row r="1" spans="2:2">
      <c r="B1" t="s">
        <v>103</v>
      </c>
    </row>
    <row r="2" spans="4:6">
      <c r="D2">
        <v>440</v>
      </c>
      <c r="E2">
        <v>440</v>
      </c>
      <c r="F2">
        <v>450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84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901</v>
      </c>
      <c r="G4" s="4">
        <v>61275</v>
      </c>
      <c r="H4" s="4">
        <v>10500</v>
      </c>
      <c r="I4" s="4">
        <f>+C4+E5+F5+G4+H4+D5</f>
        <v>477225</v>
      </c>
      <c r="J4" s="3">
        <f>+I4/F2</f>
        <v>1060.5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405450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477225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13544.5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13544.5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>
        <v>2000</v>
      </c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>
        <v>2000</v>
      </c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9544.5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13544.5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zoomScale="66" zoomScaleNormal="66" topLeftCell="C1" workbookViewId="0">
      <selection activeCell="I14" sqref="I14"/>
    </sheetView>
  </sheetViews>
  <sheetFormatPr defaultColWidth="11" defaultRowHeight="14"/>
  <cols>
    <col min="2" max="2" width="23" customWidth="1"/>
    <col min="3" max="3" width="21.3359375" customWidth="1"/>
    <col min="4" max="4" width="24.875" customWidth="1"/>
    <col min="5" max="7" width="17.3359375" customWidth="1"/>
    <col min="8" max="8" width="34.9375" customWidth="1"/>
  </cols>
  <sheetData>
    <row r="1" spans="2:2">
      <c r="B1" t="s">
        <v>104</v>
      </c>
    </row>
    <row r="2" spans="4:6">
      <c r="D2">
        <v>440</v>
      </c>
      <c r="E2">
        <v>440</v>
      </c>
      <c r="F2">
        <v>440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84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6600</v>
      </c>
      <c r="D4" s="16">
        <v>0</v>
      </c>
      <c r="E4" s="4">
        <v>0</v>
      </c>
      <c r="F4" s="4">
        <v>788</v>
      </c>
      <c r="G4" s="4">
        <v>14950</v>
      </c>
      <c r="H4" s="4">
        <v>16720</v>
      </c>
      <c r="I4" s="4">
        <f>+C4+E5+F5+G4+H4+D5</f>
        <v>384990</v>
      </c>
      <c r="J4" s="3">
        <f>+I4/F2</f>
        <v>874.977272727273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346720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384990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11699.8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11699.8</v>
      </c>
    </row>
    <row r="27" spans="2:3">
      <c r="B27" s="19" t="s">
        <v>3</v>
      </c>
      <c r="C27" s="20"/>
    </row>
    <row r="28" spans="2:3">
      <c r="B28" s="3" t="s">
        <v>75</v>
      </c>
      <c r="C28" s="4">
        <v>2000</v>
      </c>
    </row>
    <row r="29" spans="2:3">
      <c r="B29" s="3" t="s">
        <v>76</v>
      </c>
      <c r="C29" s="4"/>
    </row>
    <row r="30" spans="2:3">
      <c r="B30" s="3" t="s">
        <v>77</v>
      </c>
      <c r="C30" s="4">
        <v>2000</v>
      </c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7699.8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11699.8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F5" sqref="F5"/>
    </sheetView>
  </sheetViews>
  <sheetFormatPr defaultColWidth="11" defaultRowHeight="14"/>
  <cols>
    <col min="2" max="2" width="23.109375" customWidth="1"/>
    <col min="3" max="3" width="21.3359375" customWidth="1"/>
    <col min="4" max="4" width="19.890625" customWidth="1"/>
    <col min="5" max="7" width="17.3359375" customWidth="1"/>
    <col min="8" max="8" width="34.9375" customWidth="1"/>
  </cols>
  <sheetData>
    <row r="1" spans="2:2">
      <c r="B1" t="s">
        <v>105</v>
      </c>
    </row>
    <row r="2" spans="4:6">
      <c r="D2">
        <v>440</v>
      </c>
      <c r="E2">
        <v>440</v>
      </c>
      <c r="F2">
        <v>440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84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165</v>
      </c>
      <c r="F4" s="4">
        <v>957</v>
      </c>
      <c r="G4" s="4">
        <v>7000</v>
      </c>
      <c r="H4" s="4">
        <v>0</v>
      </c>
      <c r="I4" s="4">
        <f>+C4+E5+F5+G4+H4+D5</f>
        <v>500680</v>
      </c>
      <c r="J4" s="3">
        <f>+I4/F2</f>
        <v>1137.90909090909</v>
      </c>
    </row>
    <row r="5" spans="2:9">
      <c r="B5" s="17"/>
      <c r="C5" s="18"/>
      <c r="D5" s="4">
        <f>+D4*D2</f>
        <v>0</v>
      </c>
      <c r="E5" s="4">
        <f>+E4*E2</f>
        <v>72600</v>
      </c>
      <c r="F5" s="4">
        <f>+F4*F2</f>
        <v>421080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500680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14013.6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14013.6</v>
      </c>
    </row>
    <row r="27" spans="2:3">
      <c r="B27" s="19" t="s">
        <v>3</v>
      </c>
      <c r="C27" s="20"/>
    </row>
    <row r="28" spans="2:3">
      <c r="B28" s="3" t="s">
        <v>75</v>
      </c>
      <c r="C28" s="4">
        <v>2000</v>
      </c>
    </row>
    <row r="29" spans="2:3">
      <c r="B29" s="3" t="s">
        <v>76</v>
      </c>
      <c r="C29" s="4"/>
    </row>
    <row r="30" spans="2:3">
      <c r="B30" s="3" t="s">
        <v>77</v>
      </c>
      <c r="C30" s="4">
        <v>2000</v>
      </c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10013.6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14013.6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H1" workbookViewId="0">
      <selection activeCell="G13" sqref="G13"/>
    </sheetView>
  </sheetViews>
  <sheetFormatPr defaultColWidth="11" defaultRowHeight="14"/>
  <cols>
    <col min="2" max="2" width="23.109375" customWidth="1"/>
    <col min="3" max="3" width="21.3359375" customWidth="1"/>
    <col min="4" max="4" width="19.890625" customWidth="1"/>
    <col min="5" max="7" width="17.3359375" customWidth="1"/>
    <col min="8" max="8" width="34.9375" customWidth="1"/>
  </cols>
  <sheetData>
    <row r="1" spans="2:2">
      <c r="B1" t="s">
        <v>106</v>
      </c>
    </row>
    <row r="2" spans="4:6">
      <c r="D2">
        <v>440</v>
      </c>
      <c r="E2">
        <v>440</v>
      </c>
      <c r="F2">
        <v>440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7920</v>
      </c>
      <c r="D4" s="16">
        <v>0</v>
      </c>
      <c r="E4" s="4">
        <v>0</v>
      </c>
      <c r="F4" s="4">
        <v>489</v>
      </c>
      <c r="G4" s="4">
        <v>17600</v>
      </c>
      <c r="H4" s="4">
        <v>11000</v>
      </c>
      <c r="I4" s="4">
        <f>+C4+E5+F5+G4+H4+D5</f>
        <v>251680</v>
      </c>
      <c r="J4" s="3">
        <f>+I4/F2</f>
        <v>572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215160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251680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9033.6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9033.6</v>
      </c>
    </row>
    <row r="27" spans="2:3">
      <c r="B27" s="19" t="s">
        <v>3</v>
      </c>
      <c r="C27" s="20"/>
    </row>
    <row r="28" spans="2:3">
      <c r="B28" s="3" t="s">
        <v>75</v>
      </c>
      <c r="C28" s="4">
        <v>2000</v>
      </c>
    </row>
    <row r="29" spans="2:3">
      <c r="B29" s="3" t="s">
        <v>76</v>
      </c>
      <c r="C29" s="4"/>
    </row>
    <row r="30" spans="2:3">
      <c r="B30" s="3" t="s">
        <v>77</v>
      </c>
      <c r="C30" s="4">
        <v>2000</v>
      </c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5033.6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9033.6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H1" workbookViewId="0">
      <selection activeCell="F11" sqref="F11"/>
    </sheetView>
  </sheetViews>
  <sheetFormatPr defaultColWidth="11" defaultRowHeight="14"/>
  <cols>
    <col min="2" max="2" width="22.664062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107</v>
      </c>
    </row>
    <row r="2" spans="4:6">
      <c r="D2">
        <v>440</v>
      </c>
      <c r="E2">
        <v>440</v>
      </c>
      <c r="F2">
        <v>440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471.4</v>
      </c>
      <c r="G4" s="4">
        <v>0</v>
      </c>
      <c r="H4" s="4">
        <v>0</v>
      </c>
      <c r="I4" s="4">
        <f>+C4+E5+F5+G4+H4+D5</f>
        <v>207416</v>
      </c>
      <c r="J4" s="3">
        <f>+I4/F2</f>
        <v>471.4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207416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207416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20908.32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20908.32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>
        <v>2000</v>
      </c>
    </row>
    <row r="30" spans="2:3">
      <c r="B30" s="3" t="s">
        <v>77</v>
      </c>
      <c r="C30" s="4"/>
    </row>
    <row r="31" spans="2:3">
      <c r="B31" s="3" t="s">
        <v>78</v>
      </c>
      <c r="C31" s="4">
        <v>2000</v>
      </c>
    </row>
    <row r="32" spans="2:3">
      <c r="B32" s="3" t="s">
        <v>79</v>
      </c>
      <c r="C32" s="4"/>
    </row>
    <row r="33" spans="2:4">
      <c r="B33" s="3" t="s">
        <v>80</v>
      </c>
      <c r="C33" s="4">
        <f>D33*F2</f>
        <v>8800</v>
      </c>
      <c r="D33">
        <v>20</v>
      </c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4">
      <c r="B36" s="3" t="s">
        <v>108</v>
      </c>
      <c r="C36" s="4">
        <f>D36*F2</f>
        <v>3960</v>
      </c>
      <c r="D36">
        <v>9</v>
      </c>
    </row>
    <row r="37" spans="2:3">
      <c r="B37" s="23">
        <v>0.02</v>
      </c>
      <c r="C37" s="4">
        <f>+I4*0.02</f>
        <v>4148.32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20908.32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H1" workbookViewId="0">
      <selection activeCell="D33" sqref="D33"/>
    </sheetView>
  </sheetViews>
  <sheetFormatPr defaultColWidth="11" defaultRowHeight="14"/>
  <cols>
    <col min="2" max="2" width="23.5546875" customWidth="1"/>
    <col min="3" max="3" width="21.3359375" customWidth="1"/>
    <col min="4" max="4" width="19.890625" customWidth="1"/>
    <col min="5" max="7" width="17.3359375" customWidth="1"/>
    <col min="8" max="8" width="34.9375" customWidth="1"/>
  </cols>
  <sheetData>
    <row r="1" spans="2:2">
      <c r="B1" t="s">
        <v>109</v>
      </c>
    </row>
    <row r="2" spans="4:6">
      <c r="D2">
        <v>440</v>
      </c>
      <c r="E2">
        <v>440</v>
      </c>
      <c r="F2">
        <v>440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84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504</v>
      </c>
      <c r="G4" s="4">
        <v>22000</v>
      </c>
      <c r="H4" s="4">
        <v>0</v>
      </c>
      <c r="I4" s="4">
        <f>+C4+E5+F5+G4+H4+D5</f>
        <v>243760</v>
      </c>
      <c r="J4" s="3">
        <f>+I4/F2</f>
        <v>554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221760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243760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8875.2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8875.2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>
        <v>2000</v>
      </c>
    </row>
    <row r="30" spans="2:3">
      <c r="B30" s="3" t="s">
        <v>77</v>
      </c>
      <c r="C30" s="4"/>
    </row>
    <row r="31" spans="2:3">
      <c r="B31" s="3" t="s">
        <v>78</v>
      </c>
      <c r="C31" s="4">
        <v>2000</v>
      </c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4875.2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8875.2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C1" workbookViewId="0">
      <selection activeCell="G14" sqref="G14"/>
    </sheetView>
  </sheetViews>
  <sheetFormatPr defaultColWidth="11" defaultRowHeight="14"/>
  <cols>
    <col min="2" max="2" width="23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110</v>
      </c>
    </row>
    <row r="2" spans="4:6">
      <c r="D2">
        <v>440</v>
      </c>
      <c r="E2">
        <v>440</v>
      </c>
      <c r="F2">
        <v>440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39920</v>
      </c>
      <c r="D4" s="16">
        <v>0</v>
      </c>
      <c r="E4" s="4">
        <v>0</v>
      </c>
      <c r="F4" s="4">
        <v>445</v>
      </c>
      <c r="G4" s="4">
        <v>154120</v>
      </c>
      <c r="H4" s="4">
        <v>0</v>
      </c>
      <c r="I4" s="4">
        <f>+C4+E5+F5+G4+H4+D5</f>
        <v>389840</v>
      </c>
      <c r="J4" s="3">
        <f>+I4/F2</f>
        <v>886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195800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389840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11796.8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11796.8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>
        <v>2000</v>
      </c>
    </row>
    <row r="30" spans="2:3">
      <c r="B30" s="3" t="s">
        <v>77</v>
      </c>
      <c r="C30" s="4"/>
    </row>
    <row r="31" spans="2:3">
      <c r="B31" s="3" t="s">
        <v>78</v>
      </c>
      <c r="C31" s="4">
        <v>2000</v>
      </c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7796.8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11796.8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zoomScale="73" zoomScaleNormal="73" topLeftCell="D1" workbookViewId="0">
      <selection activeCell="C34" sqref="C34"/>
    </sheetView>
  </sheetViews>
  <sheetFormatPr defaultColWidth="11" defaultRowHeight="14"/>
  <cols>
    <col min="2" max="2" width="23.4453125" customWidth="1"/>
    <col min="3" max="3" width="21.3359375" customWidth="1"/>
    <col min="4" max="4" width="19.890625" customWidth="1"/>
    <col min="5" max="7" width="17.3359375" customWidth="1"/>
    <col min="8" max="8" width="34.9375" customWidth="1"/>
  </cols>
  <sheetData>
    <row r="1" spans="2:2">
      <c r="B1" t="s">
        <v>111</v>
      </c>
    </row>
    <row r="2" spans="4:6">
      <c r="D2">
        <v>440</v>
      </c>
      <c r="E2">
        <v>440</v>
      </c>
      <c r="F2">
        <v>420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50</v>
      </c>
      <c r="F4" s="4">
        <v>224</v>
      </c>
      <c r="G4" s="4">
        <v>0</v>
      </c>
      <c r="H4" s="4">
        <v>0</v>
      </c>
      <c r="I4" s="4">
        <f>+C4+E5+F5+G4+H4+D5</f>
        <v>116080</v>
      </c>
      <c r="J4" s="3">
        <f>+I4/F2</f>
        <v>276.380952380952</v>
      </c>
    </row>
    <row r="5" spans="2:9">
      <c r="B5" s="17"/>
      <c r="C5" s="18"/>
      <c r="D5" s="4">
        <f>+D4*D2</f>
        <v>0</v>
      </c>
      <c r="E5" s="4">
        <f>+E4*E2</f>
        <v>22000</v>
      </c>
      <c r="F5" s="4">
        <f>+F4*F2</f>
        <v>94080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116080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56721.6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56721.6</v>
      </c>
    </row>
    <row r="27" spans="2:3">
      <c r="B27" s="19" t="s">
        <v>3</v>
      </c>
      <c r="C27" s="20"/>
    </row>
    <row r="28" spans="2:3">
      <c r="B28" s="3" t="s">
        <v>75</v>
      </c>
      <c r="C28" s="4">
        <v>2000</v>
      </c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>
        <v>2000</v>
      </c>
    </row>
    <row r="33" spans="2:4">
      <c r="B33" s="3" t="s">
        <v>80</v>
      </c>
      <c r="C33" s="4">
        <f>D33*F2</f>
        <v>8400</v>
      </c>
      <c r="D33">
        <v>20</v>
      </c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4">
      <c r="B36" s="3" t="s">
        <v>112</v>
      </c>
      <c r="C36" s="4">
        <f>D36*F2</f>
        <v>42000</v>
      </c>
      <c r="D36">
        <v>100</v>
      </c>
    </row>
    <row r="37" spans="2:3">
      <c r="B37" s="23">
        <v>0.02</v>
      </c>
      <c r="C37" s="4">
        <f>+I4*0.02</f>
        <v>2321.6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56721.6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A2" sqref="$A2:$XFD47"/>
    </sheetView>
  </sheetViews>
  <sheetFormatPr defaultColWidth="11" defaultRowHeight="14"/>
  <cols>
    <col min="2" max="2" width="23.445312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113</v>
      </c>
    </row>
    <row r="2" spans="4:6">
      <c r="D2">
        <v>440</v>
      </c>
      <c r="E2">
        <v>440</v>
      </c>
      <c r="F2">
        <v>460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0</v>
      </c>
      <c r="G4" s="4">
        <v>0</v>
      </c>
      <c r="H4" s="4">
        <v>0</v>
      </c>
      <c r="I4" s="4">
        <f>+C4+E5+F5+G4+H4+D5</f>
        <v>0</v>
      </c>
      <c r="J4" s="3">
        <f>+I4/F2</f>
        <v>0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0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0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0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0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A19" workbookViewId="0">
      <selection activeCell="G10" sqref="G10"/>
    </sheetView>
  </sheetViews>
  <sheetFormatPr defaultColWidth="11" defaultRowHeight="14"/>
  <cols>
    <col min="2" max="2" width="23.5546875" customWidth="1"/>
    <col min="3" max="3" width="21.3359375" customWidth="1"/>
    <col min="4" max="4" width="19.890625" customWidth="1"/>
    <col min="5" max="7" width="17.3359375" customWidth="1"/>
    <col min="8" max="8" width="34.9375" customWidth="1"/>
  </cols>
  <sheetData>
    <row r="1" spans="2:2">
      <c r="B1" t="s">
        <v>114</v>
      </c>
    </row>
    <row r="2" spans="4:6">
      <c r="D2">
        <v>440</v>
      </c>
      <c r="E2">
        <v>440</v>
      </c>
      <c r="F2">
        <v>440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772</v>
      </c>
      <c r="G4" s="4">
        <v>30450</v>
      </c>
      <c r="H4" s="4">
        <v>0</v>
      </c>
      <c r="I4" s="4">
        <f>+C4+E5+F5+G4+H4+D5</f>
        <v>370130</v>
      </c>
      <c r="J4" s="3">
        <f>+I4/F2</f>
        <v>841.204545454545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339680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370130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11402.6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11402.6</v>
      </c>
    </row>
    <row r="27" spans="2:3">
      <c r="B27" s="19" t="s">
        <v>3</v>
      </c>
      <c r="C27" s="20"/>
    </row>
    <row r="28" spans="2:3">
      <c r="B28" s="3" t="s">
        <v>75</v>
      </c>
      <c r="C28" s="4">
        <v>2000</v>
      </c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>
        <v>2000</v>
      </c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7402.6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11402.6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B1" workbookViewId="0">
      <selection activeCell="G9" sqref="G9:G10"/>
    </sheetView>
  </sheetViews>
  <sheetFormatPr defaultColWidth="11" defaultRowHeight="14"/>
  <cols>
    <col min="2" max="2" width="23.6640625" customWidth="1"/>
    <col min="3" max="3" width="21.3359375" customWidth="1"/>
    <col min="4" max="4" width="19.890625" customWidth="1"/>
    <col min="5" max="7" width="17.3359375" customWidth="1"/>
    <col min="8" max="8" width="34.9375" customWidth="1"/>
  </cols>
  <sheetData>
    <row r="1" spans="2:2">
      <c r="B1" t="s">
        <v>115</v>
      </c>
    </row>
    <row r="2" spans="4:6">
      <c r="D2">
        <v>440</v>
      </c>
      <c r="E2">
        <v>440</v>
      </c>
      <c r="F2">
        <v>440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412</v>
      </c>
      <c r="G4" s="4">
        <v>46450</v>
      </c>
      <c r="H4" s="4">
        <v>0</v>
      </c>
      <c r="I4" s="4">
        <f>+C4+E5+F5+G4+H4+D5</f>
        <v>227730</v>
      </c>
      <c r="J4" s="3">
        <f>+I4/F2</f>
        <v>517.568181818182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181280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227730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4554.6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4554.6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4554.6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4554.6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A19" workbookViewId="0">
      <selection activeCell="G12" sqref="G12"/>
    </sheetView>
  </sheetViews>
  <sheetFormatPr defaultColWidth="11" defaultRowHeight="14"/>
  <cols>
    <col min="2" max="2" width="24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116</v>
      </c>
    </row>
    <row r="2" spans="4:6">
      <c r="D2">
        <v>440</v>
      </c>
      <c r="E2">
        <v>440</v>
      </c>
      <c r="F2">
        <v>440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222</v>
      </c>
      <c r="G4" s="4">
        <v>60940</v>
      </c>
      <c r="H4" s="4">
        <v>0</v>
      </c>
      <c r="I4" s="4">
        <f>+C4+E5+F5+G4+H4+D5</f>
        <v>158620</v>
      </c>
      <c r="J4" s="3">
        <f>+I4/F2</f>
        <v>360.5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97680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158620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7172.4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7172.4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>
        <v>2000</v>
      </c>
    </row>
    <row r="30" spans="2:3">
      <c r="B30" s="3" t="s">
        <v>77</v>
      </c>
      <c r="C30" s="4"/>
    </row>
    <row r="31" spans="2:3">
      <c r="B31" s="3" t="s">
        <v>78</v>
      </c>
      <c r="C31" s="4">
        <v>2000</v>
      </c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3172.4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7172.4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abSelected="1" topLeftCell="C1" workbookViewId="0">
      <selection activeCell="D17" sqref="D17"/>
    </sheetView>
  </sheetViews>
  <sheetFormatPr defaultColWidth="11" defaultRowHeight="14"/>
  <cols>
    <col min="2" max="2" width="23.335937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117</v>
      </c>
    </row>
    <row r="2" spans="4:6">
      <c r="D2">
        <v>440</v>
      </c>
      <c r="E2">
        <v>440</v>
      </c>
      <c r="F2">
        <v>460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0</v>
      </c>
      <c r="G4" s="4">
        <v>0</v>
      </c>
      <c r="H4" s="4">
        <v>0</v>
      </c>
      <c r="I4" s="4">
        <f>+C4+E5+F5+G4+H4+D5</f>
        <v>0</v>
      </c>
      <c r="J4" s="3">
        <f>+I4/F2</f>
        <v>0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0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0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0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0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A2" sqref="$A2:$XFD47"/>
    </sheetView>
  </sheetViews>
  <sheetFormatPr defaultColWidth="11" defaultRowHeight="14"/>
  <cols>
    <col min="2" max="2" width="23.335937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118</v>
      </c>
    </row>
    <row r="2" spans="4:6">
      <c r="D2">
        <v>440</v>
      </c>
      <c r="E2">
        <v>440</v>
      </c>
      <c r="F2">
        <v>460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0</v>
      </c>
      <c r="G4" s="4">
        <v>0</v>
      </c>
      <c r="H4" s="4">
        <v>0</v>
      </c>
      <c r="I4" s="4">
        <f>+C4+E5+F5+G4+H4+D5</f>
        <v>0</v>
      </c>
      <c r="J4" s="3">
        <f>+I4/F2</f>
        <v>0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0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0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0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0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A2" sqref="$A2:$XFD47"/>
    </sheetView>
  </sheetViews>
  <sheetFormatPr defaultColWidth="11" defaultRowHeight="14"/>
  <cols>
    <col min="2" max="2" width="22.89062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119</v>
      </c>
    </row>
    <row r="2" spans="4:6">
      <c r="D2">
        <v>440</v>
      </c>
      <c r="E2">
        <v>440</v>
      </c>
      <c r="F2">
        <v>460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0</v>
      </c>
      <c r="G4" s="4">
        <v>0</v>
      </c>
      <c r="H4" s="4">
        <v>0</v>
      </c>
      <c r="I4" s="4">
        <f>+C4+E5+F5+G4+H4+D5</f>
        <v>0</v>
      </c>
      <c r="J4" s="3">
        <f>+I4/F2</f>
        <v>0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0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0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0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0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58"/>
  <sheetViews>
    <sheetView workbookViewId="0">
      <selection activeCell="A2" sqref="$A2:$XFD47"/>
    </sheetView>
  </sheetViews>
  <sheetFormatPr defaultColWidth="11" defaultRowHeight="14"/>
  <cols>
    <col min="2" max="2" width="25.335937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120</v>
      </c>
    </row>
    <row r="2" spans="4:6">
      <c r="D2">
        <v>440</v>
      </c>
      <c r="E2">
        <v>440</v>
      </c>
      <c r="F2">
        <v>460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0</v>
      </c>
      <c r="G4" s="4">
        <v>0</v>
      </c>
      <c r="H4" s="4">
        <v>0</v>
      </c>
      <c r="I4" s="4">
        <f>+C4+E5+F5+G4+H4+D5</f>
        <v>0</v>
      </c>
      <c r="J4" s="3">
        <f>+I4/F2</f>
        <v>0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0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0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0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0</v>
      </c>
    </row>
    <row r="43" spans="2:3">
      <c r="B43" s="24"/>
      <c r="C43" s="25"/>
    </row>
    <row r="48" spans="3:3">
      <c r="C48" s="22"/>
    </row>
    <row r="49" spans="3:3">
      <c r="C49" s="22"/>
    </row>
    <row r="50" spans="3:3">
      <c r="C50" s="22"/>
    </row>
    <row r="51" spans="3:3">
      <c r="C51" s="22"/>
    </row>
    <row r="52" spans="3:3">
      <c r="C52" s="22"/>
    </row>
    <row r="53" spans="3:3">
      <c r="C53" s="22"/>
    </row>
    <row r="54" spans="3:3">
      <c r="C54" s="22"/>
    </row>
    <row r="55" spans="3:3">
      <c r="C55" s="22"/>
    </row>
    <row r="56" spans="3:3">
      <c r="C56" s="22"/>
    </row>
    <row r="57" spans="3:3">
      <c r="C57" s="22"/>
    </row>
    <row r="58" spans="3:3">
      <c r="C58" s="21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A2" sqref="$A2:$XFD47"/>
    </sheetView>
  </sheetViews>
  <sheetFormatPr defaultColWidth="11" defaultRowHeight="14"/>
  <cols>
    <col min="2" max="2" width="23.10937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121</v>
      </c>
    </row>
    <row r="2" spans="4:6">
      <c r="D2">
        <v>440</v>
      </c>
      <c r="E2">
        <v>440</v>
      </c>
      <c r="F2">
        <v>460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0</v>
      </c>
      <c r="G4" s="4">
        <v>0</v>
      </c>
      <c r="H4" s="4">
        <v>0</v>
      </c>
      <c r="I4" s="4">
        <f>+C4+E5+F5+G4+H4+D5</f>
        <v>0</v>
      </c>
      <c r="J4" s="3">
        <f>+I4/F2</f>
        <v>0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0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0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0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0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A2" sqref="$A2:$XFD47"/>
    </sheetView>
  </sheetViews>
  <sheetFormatPr defaultColWidth="11" defaultRowHeight="14"/>
  <cols>
    <col min="2" max="2" width="23.335937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122</v>
      </c>
    </row>
    <row r="2" spans="4:6">
      <c r="D2">
        <v>440</v>
      </c>
      <c r="E2">
        <v>440</v>
      </c>
      <c r="F2">
        <v>460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0</v>
      </c>
      <c r="G4" s="4">
        <v>0</v>
      </c>
      <c r="H4" s="4">
        <v>0</v>
      </c>
      <c r="I4" s="4">
        <f>+C4+E5+F5+G4+H4+D5</f>
        <v>0</v>
      </c>
      <c r="J4" s="3">
        <f>+I4/F2</f>
        <v>0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0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0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0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0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A2" sqref="$A2:$XFD47"/>
    </sheetView>
  </sheetViews>
  <sheetFormatPr defaultColWidth="11" defaultRowHeight="14"/>
  <cols>
    <col min="2" max="2" width="24.335937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123</v>
      </c>
    </row>
    <row r="2" spans="4:6">
      <c r="D2">
        <v>440</v>
      </c>
      <c r="E2">
        <v>440</v>
      </c>
      <c r="F2">
        <v>460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0</v>
      </c>
      <c r="G4" s="4">
        <v>0</v>
      </c>
      <c r="H4" s="4">
        <v>0</v>
      </c>
      <c r="I4" s="4">
        <f>+C4+E5+F5+G4+H4+D5</f>
        <v>0</v>
      </c>
      <c r="J4" s="3">
        <f>+I4/F2</f>
        <v>0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0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0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0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0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A2" sqref="$A2:$XFD47"/>
    </sheetView>
  </sheetViews>
  <sheetFormatPr defaultColWidth="11" defaultRowHeight="14"/>
  <cols>
    <col min="2" max="2" width="22.890625" customWidth="1"/>
    <col min="3" max="3" width="21.3359375" customWidth="1"/>
    <col min="4" max="4" width="19.890625" customWidth="1"/>
    <col min="5" max="7" width="17.3359375" customWidth="1"/>
    <col min="8" max="8" width="16.3359375" customWidth="1"/>
  </cols>
  <sheetData>
    <row r="1" spans="2:2">
      <c r="B1" t="s">
        <v>124</v>
      </c>
    </row>
    <row r="2" spans="4:6">
      <c r="D2">
        <v>440</v>
      </c>
      <c r="E2">
        <v>440</v>
      </c>
      <c r="F2">
        <v>460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0</v>
      </c>
      <c r="G4" s="4">
        <v>0</v>
      </c>
      <c r="H4" s="4">
        <v>0</v>
      </c>
      <c r="I4" s="4">
        <f>+C4+E5+F5+G4+H4+D5</f>
        <v>0</v>
      </c>
      <c r="J4" s="3">
        <f>+I4/F2</f>
        <v>0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0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0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0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0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workbookViewId="0">
      <selection activeCell="B10" sqref="B10:B23"/>
    </sheetView>
  </sheetViews>
  <sheetFormatPr defaultColWidth="11" defaultRowHeight="14"/>
  <cols>
    <col min="2" max="2" width="26.4453125" customWidth="1"/>
    <col min="3" max="3" width="21.3359375" customWidth="1"/>
    <col min="4" max="4" width="20.6640625" customWidth="1"/>
    <col min="5" max="7" width="17.3359375" customWidth="1"/>
    <col min="8" max="8" width="16.3359375" customWidth="1"/>
    <col min="9" max="9" width="15.4453125" customWidth="1"/>
  </cols>
  <sheetData>
    <row r="1" spans="2:2">
      <c r="B1" t="s">
        <v>125</v>
      </c>
    </row>
    <row r="2" spans="4:6">
      <c r="D2">
        <v>440</v>
      </c>
      <c r="E2">
        <v>440</v>
      </c>
      <c r="F2">
        <v>460</v>
      </c>
    </row>
    <row r="3" spans="2:10">
      <c r="B3" s="12" t="s">
        <v>30</v>
      </c>
      <c r="C3" s="13" t="s">
        <v>33</v>
      </c>
      <c r="D3" s="14" t="s">
        <v>34</v>
      </c>
      <c r="E3" s="26" t="s">
        <v>35</v>
      </c>
      <c r="F3" s="26" t="s">
        <v>36</v>
      </c>
      <c r="G3" s="27" t="s">
        <v>37</v>
      </c>
      <c r="H3" s="28" t="s">
        <v>85</v>
      </c>
      <c r="I3" s="14" t="s">
        <v>39</v>
      </c>
      <c r="J3" s="14" t="s">
        <v>40</v>
      </c>
    </row>
    <row r="4" spans="2:10">
      <c r="B4" s="15"/>
      <c r="C4" s="16">
        <v>0</v>
      </c>
      <c r="D4" s="16">
        <v>0</v>
      </c>
      <c r="E4" s="4">
        <v>0</v>
      </c>
      <c r="F4" s="4">
        <v>0</v>
      </c>
      <c r="G4" s="4">
        <v>0</v>
      </c>
      <c r="H4" s="4">
        <v>0</v>
      </c>
      <c r="I4" s="4">
        <f>+C4+E5+F5+G4+H4+D5</f>
        <v>0</v>
      </c>
      <c r="J4" s="3">
        <f>+I4/F2</f>
        <v>0</v>
      </c>
    </row>
    <row r="5" spans="2:9">
      <c r="B5" s="17"/>
      <c r="C5" s="18"/>
      <c r="D5" s="4">
        <f>+D4*D2</f>
        <v>0</v>
      </c>
      <c r="E5" s="4">
        <f>+E4*E2</f>
        <v>0</v>
      </c>
      <c r="F5" s="4">
        <f>+F4*F2</f>
        <v>0</v>
      </c>
      <c r="G5" s="18"/>
      <c r="I5" s="18"/>
    </row>
    <row r="7" spans="2:3">
      <c r="B7" s="19" t="s">
        <v>86</v>
      </c>
      <c r="C7" s="20"/>
    </row>
    <row r="8" spans="2:3">
      <c r="B8" s="1" t="s">
        <v>87</v>
      </c>
      <c r="C8" s="2">
        <f>+I4</f>
        <v>0</v>
      </c>
    </row>
    <row r="9" spans="2:3">
      <c r="B9" s="19" t="s">
        <v>88</v>
      </c>
      <c r="C9" s="20"/>
    </row>
    <row r="10" spans="2:4">
      <c r="B10" s="3" t="s">
        <v>3</v>
      </c>
      <c r="C10" s="4">
        <f>+C42</f>
        <v>0</v>
      </c>
      <c r="D10" s="21"/>
    </row>
    <row r="11" spans="2:4">
      <c r="B11" s="3" t="s">
        <v>5</v>
      </c>
      <c r="C11" s="4"/>
      <c r="D11" s="21"/>
    </row>
    <row r="12" spans="2:4">
      <c r="B12" s="3" t="s">
        <v>7</v>
      </c>
      <c r="C12" s="4"/>
      <c r="D12" s="22"/>
    </row>
    <row r="13" spans="2:4">
      <c r="B13" s="3" t="s">
        <v>9</v>
      </c>
      <c r="C13" s="4"/>
      <c r="D13" s="21"/>
    </row>
    <row r="14" spans="2:4">
      <c r="B14" s="3" t="s">
        <v>11</v>
      </c>
      <c r="C14" s="4"/>
      <c r="D14" s="21"/>
    </row>
    <row r="15" spans="2:4">
      <c r="B15" s="3" t="s">
        <v>14</v>
      </c>
      <c r="C15" s="4"/>
      <c r="D15" s="21"/>
    </row>
    <row r="16" spans="2:4">
      <c r="B16" s="3" t="s">
        <v>16</v>
      </c>
      <c r="C16" s="4"/>
      <c r="D16" s="21"/>
    </row>
    <row r="17" spans="2:4">
      <c r="B17" s="3" t="s">
        <v>18</v>
      </c>
      <c r="C17" s="4"/>
      <c r="D17" s="21"/>
    </row>
    <row r="18" spans="2:3">
      <c r="B18" s="3" t="s">
        <v>20</v>
      </c>
      <c r="C18" s="4"/>
    </row>
    <row r="19" spans="2:3">
      <c r="B19" s="3" t="s">
        <v>22</v>
      </c>
      <c r="C19" s="4"/>
    </row>
    <row r="20" spans="2:3">
      <c r="B20" s="3" t="s">
        <v>24</v>
      </c>
      <c r="C20" s="4"/>
    </row>
    <row r="21" spans="2:3">
      <c r="B21" s="3" t="s">
        <v>12</v>
      </c>
      <c r="C21" s="4"/>
    </row>
    <row r="22" spans="2:3">
      <c r="B22" s="3" t="s">
        <v>26</v>
      </c>
      <c r="C22" s="4"/>
    </row>
    <row r="23" spans="2:3">
      <c r="B23" s="3" t="s">
        <v>28</v>
      </c>
      <c r="C23" s="4"/>
    </row>
    <row r="24" spans="2:3">
      <c r="B24" s="1" t="s">
        <v>90</v>
      </c>
      <c r="C24" s="2">
        <f>SUM(C10:C23)</f>
        <v>0</v>
      </c>
    </row>
    <row r="27" spans="2:3">
      <c r="B27" s="19" t="s">
        <v>3</v>
      </c>
      <c r="C27" s="20"/>
    </row>
    <row r="28" spans="2:3">
      <c r="B28" s="3" t="s">
        <v>75</v>
      </c>
      <c r="C28" s="4"/>
    </row>
    <row r="29" spans="2:3">
      <c r="B29" s="3" t="s">
        <v>76</v>
      </c>
      <c r="C29" s="4"/>
    </row>
    <row r="30" spans="2:3">
      <c r="B30" s="3" t="s">
        <v>77</v>
      </c>
      <c r="C30" s="4"/>
    </row>
    <row r="31" spans="2:3">
      <c r="B31" s="3" t="s">
        <v>78</v>
      </c>
      <c r="C31" s="4"/>
    </row>
    <row r="32" spans="2:3">
      <c r="B32" s="3" t="s">
        <v>79</v>
      </c>
      <c r="C32" s="4"/>
    </row>
    <row r="33" spans="2:3">
      <c r="B33" s="3" t="s">
        <v>80</v>
      </c>
      <c r="C33" s="4"/>
    </row>
    <row r="34" spans="2:3">
      <c r="B34" s="3" t="s">
        <v>81</v>
      </c>
      <c r="C34" s="4"/>
    </row>
    <row r="35" spans="2:3">
      <c r="B35" s="3" t="s">
        <v>82</v>
      </c>
      <c r="C35" s="4"/>
    </row>
    <row r="36" spans="2:3">
      <c r="B36" s="3"/>
      <c r="C36" s="4"/>
    </row>
    <row r="37" spans="2:3">
      <c r="B37" s="23">
        <v>0.02</v>
      </c>
      <c r="C37" s="4">
        <f>+I4*0.02</f>
        <v>0</v>
      </c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1" t="s">
        <v>91</v>
      </c>
      <c r="C42" s="2">
        <f>SUM(C28:C41)</f>
        <v>0</v>
      </c>
    </row>
    <row r="43" spans="2:3">
      <c r="B43" s="24"/>
      <c r="C43" s="25"/>
    </row>
  </sheetData>
  <mergeCells count="4">
    <mergeCell ref="B7:C7"/>
    <mergeCell ref="B9:C9"/>
    <mergeCell ref="B27:C27"/>
    <mergeCell ref="B3:B5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37"/>
  <sheetViews>
    <sheetView topLeftCell="A3" workbookViewId="0">
      <selection activeCell="B36" sqref="B36"/>
    </sheetView>
  </sheetViews>
  <sheetFormatPr defaultColWidth="11" defaultRowHeight="14" outlineLevelCol="3"/>
  <cols>
    <col min="2" max="2" width="28.5546875" customWidth="1"/>
    <col min="3" max="3" width="19.4453125" customWidth="1"/>
    <col min="4" max="4" width="18.890625" customWidth="1"/>
  </cols>
  <sheetData>
    <row r="3" spans="2:2">
      <c r="B3" t="s">
        <v>126</v>
      </c>
    </row>
    <row r="6" spans="2:3">
      <c r="B6" s="1" t="s">
        <v>87</v>
      </c>
      <c r="C6" s="2">
        <f>+Ventas!J35</f>
        <v>4931187</v>
      </c>
    </row>
    <row r="7" spans="2:3">
      <c r="B7" s="3" t="s">
        <v>127</v>
      </c>
      <c r="C7" s="4">
        <f>+C6*0.1</f>
        <v>493118.7</v>
      </c>
    </row>
    <row r="8" spans="2:3">
      <c r="B8" s="5" t="s">
        <v>128</v>
      </c>
      <c r="C8" s="6">
        <f>+(C6-3260)*0.05</f>
        <v>246396.35</v>
      </c>
    </row>
    <row r="9" spans="2:3">
      <c r="B9" s="7" t="s">
        <v>129</v>
      </c>
      <c r="C9" s="8">
        <f>+C6-C7-C8</f>
        <v>4191671.95</v>
      </c>
    </row>
    <row r="10" spans="2:4">
      <c r="B10" s="9" t="s">
        <v>88</v>
      </c>
      <c r="C10" s="10"/>
      <c r="D10" s="9" t="s">
        <v>130</v>
      </c>
    </row>
    <row r="11" spans="2:4">
      <c r="B11" s="3" t="s">
        <v>3</v>
      </c>
      <c r="C11" s="4">
        <f>+'Dia 1'!C10+'Dia 2'!C10+'Dia 3'!C10+'Dia 4'!C10+'Dia 5'!C10+'Dia 6'!C10+'Dia 7'!C10+'Dia 8'!C10+'Dia 9'!C10+'Dia 10'!C10+'Dia 11'!C10+'Dia 12'!C10+'Dia 13'!C10+'Dia 14'!C10+'Dia 15'!C10+'Dia 16'!C10+'Dia 17'!C10+'Dia 18'!C10+'Dia 19'!C10+'Dia 20'!C10+'Dia 21'!C10+'Dia 22'!C10+'Dia 23'!C10+'Dia 24'!C10+'Dia 25'!C10+'Dia 26'!C10+'Dia 27'!C10+'Dia 28'!C10+'Dia 29'!C10+'Dia 30'!C10+'Dia 31'!C10</f>
        <v>268683.74</v>
      </c>
      <c r="D11" s="11">
        <f t="shared" ref="D11:D24" si="0">+C11/$C$25</f>
        <v>0.728962541863621</v>
      </c>
    </row>
    <row r="12" spans="2:4">
      <c r="B12" s="3" t="s">
        <v>5</v>
      </c>
      <c r="C12" s="4">
        <f>+'Dia 1'!C11+'Dia 2'!C11+'Dia 3'!C11+'Dia 4'!C11+'Dia 5'!C11+'Dia 6'!C11+'Dia 7'!C11+'Dia 8'!C11+'Dia 9'!C11+'Dia 10'!C11+'Dia 11'!C11+'Dia 12'!C11+'Dia 13'!C11+'Dia 14'!C11+'Dia 15'!C11+'Dia 16'!C11+'Dia 17'!C11+'Dia 18'!C11+'Dia 19'!C11+'Dia 20'!C11+'Dia 21'!C11+'Dia 22'!C11+'Dia 23'!C11+'Dia 24'!C11+'Dia 25'!C11+'Dia 26'!C11+'Dia 27'!C11+'Dia 28'!C11+'Dia 29'!C11+'Dia 30'!C11+'Dia 31'!C11</f>
        <v>0</v>
      </c>
      <c r="D12" s="11">
        <f t="shared" si="0"/>
        <v>0</v>
      </c>
    </row>
    <row r="13" spans="2:4">
      <c r="B13" s="3" t="s">
        <v>7</v>
      </c>
      <c r="C13" s="4">
        <f>+'Dia 1'!C12+'Dia 2'!C12+'Dia 3'!C12+'Dia 4'!C12+'Dia 5'!C12+'Dia 6'!C12+'Dia 7'!C12+'Dia 8'!C12+'Dia 9'!C12+'Dia 10'!C12+'Dia 11'!C12+'Dia 12'!C12+'Dia 13'!C12+'Dia 14'!C12+'Dia 15'!C12+'Dia 16'!C12+'Dia 17'!C12+'Dia 18'!C12+'Dia 19'!C12+'Dia 20'!C12+'Dia 21'!C12+'Dia 22'!C12+'Dia 23'!C12+'Dia 24'!C12+'Dia 25'!C12+'Dia 26'!C12+'Dia 27'!C12+'Dia 28'!C12+'Dia 29'!C12+'Dia 30'!C12+'Dia 31'!C12</f>
        <v>0</v>
      </c>
      <c r="D13" s="11">
        <f t="shared" si="0"/>
        <v>0</v>
      </c>
    </row>
    <row r="14" spans="2:4">
      <c r="B14" s="3" t="s">
        <v>9</v>
      </c>
      <c r="C14" s="4">
        <f>+'Dia 1'!C13+'Dia 2'!C13+'Dia 3'!C13+'Dia 4'!C13+'Dia 5'!C13+'Dia 6'!C13+'Dia 7'!C13+'Dia 8'!C13+'Dia 9'!C13+'Dia 10'!C13+'Dia 11'!C13+'Dia 12'!C13+'Dia 13'!C13+'Dia 14'!C13+'Dia 15'!C13+'Dia 16'!C13+'Dia 17'!C13+'Dia 18'!C13+'Dia 19'!C13+'Dia 20'!C13+'Dia 21'!C13+'Dia 22'!C13+'Dia 23'!C13+'Dia 24'!C13+'Dia 25'!C13+'Dia 26'!C13+'Dia 27'!C13+'Dia 28'!C13+'Dia 29'!C13+'Dia 30'!C13+'Dia 31'!C13</f>
        <v>0</v>
      </c>
      <c r="D14" s="11">
        <f t="shared" si="0"/>
        <v>0</v>
      </c>
    </row>
    <row r="15" spans="2:4">
      <c r="B15" s="3" t="s">
        <v>11</v>
      </c>
      <c r="C15" s="4">
        <f>'Dia 1'!C14+'Dia 2'!C14+'Dia 3'!C14+'Dia 4'!C14+'Dia 5'!C14+'Dia 6'!C14+'Dia 7'!C14+'Dia 8'!C14+'Dia 9'!C14+'Dia 10'!C14+'Dia 11'!C14+'Dia 12'!C14+'Dia 13'!C14+'Dia 14'!C14+'Dia 15'!C14+'Dia 16'!C14+'Dia 17'!C14+'Dia 18'!C14+'Dia 19'!C14+'Dia 20'!C14+'Dia 21'!C14+'Dia 22'!C14+'Dia 23'!C14+'Dia 24'!C14+'Dia 25'!C14+'Dia 26'!C14+'Dia 27'!C14+'Dia 28'!C14+'Dia 29'!C14+'Dia 30'!C14+'Dia 31'!C14</f>
        <v>0</v>
      </c>
      <c r="D15" s="11">
        <f t="shared" si="0"/>
        <v>0</v>
      </c>
    </row>
    <row r="16" spans="2:4">
      <c r="B16" s="3" t="s">
        <v>14</v>
      </c>
      <c r="C16" s="4">
        <f>+'Dia 1'!C15+'Dia 2'!C16+'Dia 3'!C16+'Dia 4'!C16+'Dia 5'!C16+'Dia 6'!C16+'Dia 7'!C16+'Dia 8'!C16+'Dia 9'!C16+'Dia 10'!C16+'Dia 11'!C16+'Dia 12'!C16+'Dia 13'!C16+'Dia 14'!C16+'Dia 15'!C16+'Dia 16'!C16+'Dia 17'!C16+'Dia 18'!C16+'Dia 19'!C16+'Dia 20'!C16+'Dia 21'!C16+'Dia 22'!C16+'Dia 23'!C16+'Dia 24'!C16+'Dia 25'!C16+'Dia 26'!C16+'Dia 27'!C16+'Dia 28'!C16+'Dia 29'!C16+'Dia 30'!C16+'Dia 31'!C16</f>
        <v>650</v>
      </c>
      <c r="D16" s="11">
        <f t="shared" si="0"/>
        <v>0.00176350698487133</v>
      </c>
    </row>
    <row r="17" spans="2:4">
      <c r="B17" s="3" t="s">
        <v>16</v>
      </c>
      <c r="C17" s="4">
        <f>+'Dia 1'!C16+'Dia 2'!C17+'Dia 3'!C17+'Dia 4'!C17+'Dia 5'!C17+'Dia 6'!C17+'Dia 7'!C17+'Dia 8'!C17+'Dia 9'!C17+'Dia 10'!C17+'Dia 11'!C17+'Dia 12'!C17+'Dia 13'!C17+'Dia 14'!C17+'Dia 15'!C17+'Dia 16'!C17+'Dia 17'!C17+'Dia 18'!C17+'Dia 19'!C17+'Dia 20'!C17+'Dia 21'!C17+'Dia 22'!C17+'Dia 23'!C17+'Dia 24'!C17+'Dia 25'!C17+'Dia 26'!C17+'Dia 27'!C17+'Dia 28'!C17+'Dia 29'!C17+'Dia 30'!C17+'Dia 31'!C17</f>
        <v>67500</v>
      </c>
      <c r="D17" s="11">
        <f t="shared" si="0"/>
        <v>0.183133417659716</v>
      </c>
    </row>
    <row r="18" spans="2:4">
      <c r="B18" s="3" t="s">
        <v>18</v>
      </c>
      <c r="C18" s="4">
        <f>+'Dia 1'!C17+'Dia 2'!C18+'Dia 3'!C18+'Dia 4'!C18+'Dia 5'!C18+'Dia 6'!C18+'Dia 7'!C18+'Dia 8'!C18+'Dia 9'!C18+'Dia 10'!C18+'Dia 11'!C18+'Dia 12'!C18+'Dia 13'!C18+'Dia 14'!C18+'Dia 15'!C18+'Dia 16'!C18+'Dia 17'!C18+'Dia 18'!C18+'Dia 19'!C18+'Dia 20'!C18+'Dia 21'!C18+'Dia 22'!C18+'Dia 23'!C18+'Dia 24'!C18+'Dia 25'!C18+'Dia 26'!C18+'Dia 27'!C18+'Dia 28'!C18+'Dia 29'!C18+'Dia 30'!C18+'Dia 31'!C18</f>
        <v>24750</v>
      </c>
      <c r="D18" s="11">
        <f t="shared" si="0"/>
        <v>0.0671489198085624</v>
      </c>
    </row>
    <row r="19" spans="2:4">
      <c r="B19" s="3" t="s">
        <v>20</v>
      </c>
      <c r="C19" s="4">
        <f>+'Dia 1'!C18+'Dia 2'!C19+'Dia 3'!C19+'Dia 4'!C19+'Dia 5'!C19+'Dia 6'!C19+'Dia 7'!C19+'Dia 8'!C19+'Dia 9'!C19+'Dia 10'!C19+'Dia 11'!C19+'Dia 12'!C19+'Dia 13'!C19+'Dia 14'!C19+'Dia 15'!C19+'Dia 16'!C19+'Dia 17'!C19+'Dia 18'!C19+'Dia 19'!C19+'Dia 20'!C19+'Dia 21'!C19+'Dia 22'!C19+'Dia 23'!C19+'Dia 24'!C19+'Dia 25'!C19+'Dia 26'!C19+'Dia 27'!C19+'Dia 28'!C19+'Dia 29'!C19+'Dia 30'!C19+'Dia 31'!C19</f>
        <v>0</v>
      </c>
      <c r="D19" s="11">
        <f t="shared" si="0"/>
        <v>0</v>
      </c>
    </row>
    <row r="20" spans="2:4">
      <c r="B20" s="3" t="s">
        <v>22</v>
      </c>
      <c r="C20" s="4">
        <f>+'Dia 1'!C19+'Dia 2'!C20+'Dia 3'!C20+'Dia 4'!C20+'Dia 5'!C20+'Dia 6'!C20+'Dia 7'!C20+'Dia 8'!C20+'Dia 9'!C20+'Dia 10'!C20+'Dia 11'!C20+'Dia 12'!C20+'Dia 13'!C20+'Dia 14'!C20+'Dia 15'!C20+'Dia 16'!C20+'Dia 17'!C20+'Dia 18'!C20+'Dia 19'!C20+'Dia 20'!C20+'Dia 21'!C20+'Dia 22'!C20+'Dia 23'!C20+'Dia 24'!C20+'Dia 25'!C20+'Dia 26'!C20+'Dia 27'!C20+'Dia 28'!C20+'Dia 29'!C20+'Dia 30'!C20+'Dia 31'!C20</f>
        <v>7000</v>
      </c>
      <c r="D20" s="11">
        <f t="shared" si="0"/>
        <v>0.0189916136832298</v>
      </c>
    </row>
    <row r="21" spans="2:4">
      <c r="B21" s="3" t="s">
        <v>24</v>
      </c>
      <c r="C21" s="4">
        <f>+'Dia 1'!C20+'Dia 2'!C21+'Dia 3'!C21+'Dia 4'!C21+'Dia 5'!C21+'Dia 6'!C21+'Dia 7'!C21+'Dia 8'!C21+'Dia 9'!C21+'Dia 10'!C21+'Dia 11'!C21+'Dia 12'!C21+'Dia 13'!C21+'Dia 14'!C21+'Dia 15'!C21+'Dia 16'!C21+'Dia 17'!C21+'Dia 18'!C21+'Dia 19'!C21+'Dia 20'!C21+'Dia 21'!C21+'Dia 22'!C21+'Dia 23'!C21+'Dia 24'!C21+'Dia 25'!C21+'Dia 26'!C21+'Dia 27'!C21+'Dia 28'!C21+'Dia 29'!C21+'Dia 30'!C21+'Dia 31'!C21</f>
        <v>0</v>
      </c>
      <c r="D21" s="11">
        <f t="shared" si="0"/>
        <v>0</v>
      </c>
    </row>
    <row r="22" spans="2:4">
      <c r="B22" s="3" t="s">
        <v>12</v>
      </c>
      <c r="C22" s="4">
        <f>+'Dia 1'!C22+'Dia 2'!C22+'Dia 3'!C22+'Dia 4'!C22+'Dia 5'!C22+'Dia 6'!C22+'Dia 7'!C22+'Dia 8'!C22+'Dia 9'!C22+'Dia 10'!C22+'Dia 11'!C22+'Dia 12'!C22+'Dia 13'!C22+'Dia 14'!C22+'Dia 15'!C22+'Dia 16'!C22+'Dia 17'!C22+'Dia 18'!C22+'Dia 19'!C22+'Dia 20'!C22+'Dia 21'!C22+'Dia 22'!C22+'Dia 23'!C22+'Dia 24'!C22+'Dia 25'!C22+'Dia 26'!C22+'Dia 27'!C22+'Dia 28'!C22+'Dia 29'!C22+'Dia 30'!C22+'Dia 31'!C22</f>
        <v>0</v>
      </c>
      <c r="D22" s="11">
        <f t="shared" si="0"/>
        <v>0</v>
      </c>
    </row>
    <row r="23" spans="2:4">
      <c r="B23" s="3" t="s">
        <v>26</v>
      </c>
      <c r="C23" s="4">
        <f>+'Dia 1'!C23+'Dia 2'!C23+'Dia 3'!C23+'Dia 4'!C23+'Dia 5'!C23+'Dia 6'!C23+'Dia 7'!C23+'Dia 8'!C23+'Dia 9'!C23+'Dia 10'!C23+'Dia 11'!C23+'Dia 12'!C23+'Dia 13'!C23+'Dia 14'!C23+'Dia 15'!C23+'Dia 16'!C23+'Dia 17'!C23+'Dia 18'!C23+'Dia 19'!C23+'Dia 20'!C23+'Dia 21'!C23+'Dia 22'!C23+'Dia 23'!C23+'Dia 24'!C23+'Dia 25'!C23+'Dia 26'!C23+'Dia 27'!C23+'Dia 28'!C23+'Dia 29'!C23+'Dia 30'!C23+'Dia 31'!C23</f>
        <v>0</v>
      </c>
      <c r="D23" s="11">
        <f t="shared" si="0"/>
        <v>0</v>
      </c>
    </row>
    <row r="24" spans="2:4">
      <c r="B24" s="3" t="s">
        <v>28</v>
      </c>
      <c r="C24" s="4">
        <f>+'Dia 1'!C23+'Dia 2'!C23+'Dia 3'!C23+'Dia 4'!C23+'Dia 5'!C23+'Dia 6'!C23+'Dia 7'!C23+'Dia 8'!C23+'Dia 9'!C23+'Dia 10'!C23+'Dia 11'!C23+'Dia 12'!C23+'Dia 13'!C23+'Dia 14'!C23+'Dia 15'!C23+'Dia 16'!C23+'Dia 17'!C23+'Dia 18'!C23+'Dia 19'!C23+'Dia 20'!C23+'Dia 21'!C23+'Dia 22'!C23+'Dia 23'!C23+'Dia 24'!C23+'Dia 25'!C23+'Dia 26'!C23+'Dia 27'!C23+'Dia 28'!C23+'Dia 29'!C23+'Dia 30'!C23+'Dia 31'!C23</f>
        <v>0</v>
      </c>
      <c r="D24" s="11">
        <f t="shared" si="0"/>
        <v>0</v>
      </c>
    </row>
    <row r="25" spans="2:4">
      <c r="B25" s="1" t="s">
        <v>90</v>
      </c>
      <c r="C25" s="2">
        <f>SUM(C11:C24)</f>
        <v>368583.74</v>
      </c>
      <c r="D25" s="3"/>
    </row>
    <row r="26" spans="2:3">
      <c r="B26" s="1" t="s">
        <v>131</v>
      </c>
      <c r="C26" s="4">
        <f>+C9-C25</f>
        <v>3823088.21</v>
      </c>
    </row>
    <row r="28" spans="2:3">
      <c r="B28" s="1" t="s">
        <v>132</v>
      </c>
      <c r="C28" s="3"/>
    </row>
    <row r="29" spans="2:3">
      <c r="B29" s="3" t="s">
        <v>133</v>
      </c>
      <c r="C29" s="4">
        <f>+C11*0.125</f>
        <v>33585.4675</v>
      </c>
    </row>
    <row r="30" spans="2:3">
      <c r="B30" s="3" t="s">
        <v>134</v>
      </c>
      <c r="C30" s="4">
        <f>+C11*0.05</f>
        <v>13434.187</v>
      </c>
    </row>
    <row r="31" spans="2:3">
      <c r="B31" s="1" t="s">
        <v>135</v>
      </c>
      <c r="C31" s="2">
        <f>SUM(C29:C30)</f>
        <v>47019.6545</v>
      </c>
    </row>
    <row r="32" spans="2:3">
      <c r="B32" s="1" t="s">
        <v>136</v>
      </c>
      <c r="C32" s="2">
        <f>+C26-C31</f>
        <v>3776068.5555</v>
      </c>
    </row>
    <row r="33" spans="2:3">
      <c r="B33" s="1" t="s">
        <v>137</v>
      </c>
      <c r="C33" s="2">
        <f>+C32*0.35</f>
        <v>1321623.994425</v>
      </c>
    </row>
    <row r="34" spans="2:3">
      <c r="B34" s="1" t="s">
        <v>138</v>
      </c>
      <c r="C34" s="2">
        <f>+C32-C33</f>
        <v>2454444.561075</v>
      </c>
    </row>
    <row r="36" spans="2:3">
      <c r="B36" s="1" t="s">
        <v>139</v>
      </c>
      <c r="C36" s="3">
        <f>+C13/C6</f>
        <v>0</v>
      </c>
    </row>
    <row r="37" spans="2:3">
      <c r="B37" s="1" t="s">
        <v>140</v>
      </c>
      <c r="C37" s="3">
        <f>+C25/C6</f>
        <v>0.0747454395868581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Leyenda</vt:lpstr>
      <vt:lpstr>Ventas</vt:lpstr>
      <vt:lpstr>Salario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ivette</dc:creator>
  <cp:lastModifiedBy>leticiaaragon</cp:lastModifiedBy>
  <dcterms:created xsi:type="dcterms:W3CDTF">2024-10-16T06:45:00Z</dcterms:created>
  <cp:lastPrinted>2024-10-25T11:03:00Z</cp:lastPrinted>
  <dcterms:modified xsi:type="dcterms:W3CDTF">2026-01-06T10:48:41Z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