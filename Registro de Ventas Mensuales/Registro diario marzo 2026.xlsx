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GitHub/ss/"/>
    </mc:Choice>
  </mc:AlternateContent>
  <xr:revisionPtr revIDLastSave="0" documentId="8_{2AD6C80A-03A2-4042-82CC-20C9F7FD35A1}" xr6:coauthVersionLast="47" xr6:coauthVersionMax="47" xr10:uidLastSave="{00000000-0000-0000-0000-000000000000}"/>
  <bookViews>
    <workbookView xWindow="0" yWindow="600" windowWidth="23260" windowHeight="12460" tabRatio="605" firstSheet="7" activeTab="7" xr2:uid="{00000000-000D-0000-FFFF-FFFF00000000}"/>
  </bookViews>
  <sheets>
    <sheet name="Leyenda" sheetId="34" r:id="rId1"/>
    <sheet name="Ventas" sheetId="3" r:id="rId2"/>
    <sheet name="Salario" sheetId="35" r:id="rId3"/>
    <sheet name="Dia 1" sheetId="1" r:id="rId4"/>
    <sheet name="Dia 2" sheetId="4" r:id="rId5"/>
    <sheet name="Dia 3" sheetId="5" r:id="rId6"/>
    <sheet name="Dia 4" sheetId="6" r:id="rId7"/>
    <sheet name="Dia 5" sheetId="7" r:id="rId8"/>
    <sheet name="Dia 6" sheetId="8" r:id="rId9"/>
    <sheet name="Dia 7" sheetId="9" r:id="rId10"/>
    <sheet name="Dia 8" sheetId="10" r:id="rId11"/>
    <sheet name="Dia 9" sheetId="11" r:id="rId12"/>
    <sheet name="Dia 10" sheetId="36" r:id="rId13"/>
    <sheet name="Dia 11" sheetId="13" r:id="rId14"/>
    <sheet name="Dia 12" sheetId="14" r:id="rId15"/>
    <sheet name="Dia 13" sheetId="15" r:id="rId16"/>
    <sheet name="Dia 14" sheetId="16" r:id="rId17"/>
    <sheet name="Dia 15" sheetId="17" r:id="rId18"/>
    <sheet name="Dia 16" sheetId="18" r:id="rId19"/>
    <sheet name="Dia 17" sheetId="19" r:id="rId20"/>
    <sheet name="Dia 18" sheetId="20" r:id="rId21"/>
    <sheet name="Dia 19" sheetId="21" r:id="rId22"/>
    <sheet name="Dia 20" sheetId="22" r:id="rId23"/>
    <sheet name="Dia 21" sheetId="23" r:id="rId24"/>
    <sheet name="Dia 22" sheetId="24" r:id="rId25"/>
    <sheet name="Dia 23" sheetId="25" r:id="rId26"/>
    <sheet name="Dia 24" sheetId="26" r:id="rId27"/>
    <sheet name="Dia 25" sheetId="27" r:id="rId28"/>
    <sheet name="Dia 26" sheetId="28" r:id="rId29"/>
    <sheet name="Dia 27" sheetId="29" r:id="rId30"/>
    <sheet name="Dia 28" sheetId="30" r:id="rId31"/>
    <sheet name="Dia 29" sheetId="31" r:id="rId32"/>
    <sheet name="Dia 30" sheetId="32" r:id="rId33"/>
    <sheet name="Dia 31" sheetId="33" r:id="rId34"/>
    <sheet name="Mes" sheetId="2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13" l="1"/>
  <c r="D19" i="1" l="1"/>
  <c r="D19" i="13"/>
  <c r="D16" i="13"/>
  <c r="D53" i="13" l="1"/>
  <c r="D57" i="13"/>
  <c r="D55" i="13"/>
  <c r="D54" i="13"/>
  <c r="C52" i="13"/>
  <c r="D52" i="13" s="1"/>
  <c r="D28" i="2" s="1"/>
  <c r="C28" i="2" l="1"/>
  <c r="J24" i="28"/>
  <c r="J17" i="28"/>
  <c r="D35" i="28"/>
  <c r="D35" i="15"/>
  <c r="AA8" i="35" l="1"/>
  <c r="AA9" i="35"/>
  <c r="AA10" i="35"/>
  <c r="AA11" i="35"/>
  <c r="AA12" i="35"/>
  <c r="AA13" i="35"/>
  <c r="AA14" i="35"/>
  <c r="AA7" i="35"/>
  <c r="AA6" i="35"/>
  <c r="Z14" i="35"/>
  <c r="Z13" i="35"/>
  <c r="Z12" i="35"/>
  <c r="Z11" i="35"/>
  <c r="Z10" i="35"/>
  <c r="Z9" i="35"/>
  <c r="Z8" i="35"/>
  <c r="Z7" i="35"/>
  <c r="Z6" i="35"/>
  <c r="M35" i="3"/>
  <c r="I27" i="3"/>
  <c r="H27" i="3"/>
  <c r="G27" i="3"/>
  <c r="F27" i="3"/>
  <c r="E27" i="3"/>
  <c r="F28" i="3"/>
  <c r="G28" i="3"/>
  <c r="H28" i="3"/>
  <c r="I28" i="3"/>
  <c r="E28" i="3"/>
  <c r="D28" i="3"/>
  <c r="D10" i="2"/>
  <c r="D11" i="2"/>
  <c r="D12" i="2"/>
  <c r="D13" i="2"/>
  <c r="D14" i="2"/>
  <c r="D15" i="2"/>
  <c r="D16" i="2"/>
  <c r="D17" i="2"/>
  <c r="D19" i="2"/>
  <c r="D20" i="2"/>
  <c r="D21" i="2"/>
  <c r="D22" i="2"/>
  <c r="D26" i="2"/>
  <c r="D27" i="2"/>
  <c r="C17" i="2"/>
  <c r="C19" i="2"/>
  <c r="C20" i="2"/>
  <c r="C21" i="2"/>
  <c r="C22" i="2"/>
  <c r="C23" i="2"/>
  <c r="C24" i="2"/>
  <c r="C25" i="2"/>
  <c r="C26" i="2"/>
  <c r="C27" i="2"/>
  <c r="C13" i="2"/>
  <c r="C14" i="2"/>
  <c r="C15" i="2"/>
  <c r="C16" i="2"/>
  <c r="C12" i="2"/>
  <c r="C11" i="2"/>
  <c r="C10" i="2"/>
  <c r="C9" i="2"/>
  <c r="C48" i="33"/>
  <c r="D39" i="33"/>
  <c r="D38" i="33"/>
  <c r="D37" i="33"/>
  <c r="D35" i="33"/>
  <c r="D34" i="33"/>
  <c r="D20" i="33"/>
  <c r="C20" i="33"/>
  <c r="C10" i="33"/>
  <c r="C30" i="33" s="1"/>
  <c r="F5" i="33"/>
  <c r="E5" i="33"/>
  <c r="D5" i="33"/>
  <c r="I4" i="33"/>
  <c r="C8" i="33" s="1"/>
  <c r="G4" i="33"/>
  <c r="F4" i="33"/>
  <c r="C4" i="33"/>
  <c r="C48" i="32"/>
  <c r="C10" i="32" s="1"/>
  <c r="D39" i="32"/>
  <c r="D38" i="32"/>
  <c r="D37" i="32"/>
  <c r="D34" i="32"/>
  <c r="D20" i="32"/>
  <c r="C20" i="32"/>
  <c r="F5" i="32"/>
  <c r="E5" i="32"/>
  <c r="D5" i="32"/>
  <c r="C4" i="32"/>
  <c r="I4" i="32" s="1"/>
  <c r="C48" i="27"/>
  <c r="C10" i="27" s="1"/>
  <c r="C30" i="27" s="1"/>
  <c r="D39" i="27"/>
  <c r="D38" i="27"/>
  <c r="D37" i="27"/>
  <c r="D34" i="27"/>
  <c r="D20" i="27"/>
  <c r="C20" i="27"/>
  <c r="F5" i="27"/>
  <c r="E5" i="27"/>
  <c r="D5" i="27"/>
  <c r="C4" i="27"/>
  <c r="I4" i="27" l="1"/>
  <c r="J28" i="3" s="1"/>
  <c r="L28" i="3" s="1"/>
  <c r="C30" i="32"/>
  <c r="J4" i="33"/>
  <c r="C8" i="32"/>
  <c r="J4" i="32"/>
  <c r="D43" i="32" s="1"/>
  <c r="D48" i="32" s="1"/>
  <c r="D10" i="32" s="1"/>
  <c r="C8" i="27"/>
  <c r="J4" i="27"/>
  <c r="D26" i="30"/>
  <c r="D24" i="2" s="1"/>
  <c r="G4" i="25"/>
  <c r="D43" i="27" l="1"/>
  <c r="K28" i="3"/>
  <c r="D43" i="33"/>
  <c r="D48" i="33" s="1"/>
  <c r="D10" i="33" s="1"/>
  <c r="D30" i="33" s="1"/>
  <c r="D30" i="32"/>
  <c r="F4" i="31"/>
  <c r="D35" i="29"/>
  <c r="C48" i="26"/>
  <c r="C10" i="26" s="1"/>
  <c r="C30" i="26" s="1"/>
  <c r="D39" i="26"/>
  <c r="D38" i="26"/>
  <c r="D37" i="26"/>
  <c r="D34" i="26"/>
  <c r="D20" i="26"/>
  <c r="C20" i="26"/>
  <c r="F5" i="26"/>
  <c r="E5" i="26"/>
  <c r="D5" i="26"/>
  <c r="C4" i="26"/>
  <c r="D27" i="3" s="1"/>
  <c r="F13" i="23"/>
  <c r="D35" i="23"/>
  <c r="D11" i="8"/>
  <c r="D9" i="2" s="1"/>
  <c r="D25" i="5"/>
  <c r="D23" i="2" s="1"/>
  <c r="C4" i="20"/>
  <c r="F4" i="20"/>
  <c r="D35" i="22"/>
  <c r="D35" i="21"/>
  <c r="AA17" i="35" l="1"/>
  <c r="D48" i="27"/>
  <c r="D10" i="27" s="1"/>
  <c r="D30" i="27" s="1"/>
  <c r="I4" i="26"/>
  <c r="J4" i="26" s="1"/>
  <c r="F4" i="18"/>
  <c r="D35" i="17"/>
  <c r="G4" i="10"/>
  <c r="F4" i="10"/>
  <c r="D43" i="10"/>
  <c r="H8" i="10"/>
  <c r="F4" i="16"/>
  <c r="D35" i="16"/>
  <c r="F4" i="13"/>
  <c r="D43" i="26" l="1"/>
  <c r="D48" i="26" s="1"/>
  <c r="D10" i="26" s="1"/>
  <c r="D30" i="26" s="1"/>
  <c r="K27" i="3"/>
  <c r="C8" i="26"/>
  <c r="J27" i="3"/>
  <c r="L27" i="3" s="1"/>
  <c r="D35" i="14"/>
  <c r="D27" i="13"/>
  <c r="D27" i="11"/>
  <c r="D37" i="11"/>
  <c r="D35" i="11"/>
  <c r="D27" i="9"/>
  <c r="G4" i="9"/>
  <c r="F4" i="9"/>
  <c r="D35" i="9"/>
  <c r="C48" i="31"/>
  <c r="C10" i="31" s="1"/>
  <c r="D39" i="31"/>
  <c r="D38" i="31"/>
  <c r="D37" i="31"/>
  <c r="D34" i="31"/>
  <c r="D20" i="31"/>
  <c r="C20" i="31"/>
  <c r="F5" i="31"/>
  <c r="E5" i="31"/>
  <c r="D5" i="31"/>
  <c r="C4" i="31"/>
  <c r="C48" i="30"/>
  <c r="C10" i="30" s="1"/>
  <c r="D39" i="30"/>
  <c r="D38" i="30"/>
  <c r="D37" i="30"/>
  <c r="D34" i="30"/>
  <c r="D20" i="30"/>
  <c r="C20" i="30"/>
  <c r="F5" i="30"/>
  <c r="E5" i="30"/>
  <c r="D5" i="30"/>
  <c r="C4" i="30"/>
  <c r="C48" i="29"/>
  <c r="C10" i="29" s="1"/>
  <c r="C30" i="29" s="1"/>
  <c r="D39" i="29"/>
  <c r="D38" i="29"/>
  <c r="D37" i="29"/>
  <c r="D34" i="29"/>
  <c r="D20" i="29"/>
  <c r="C20" i="29"/>
  <c r="F5" i="29"/>
  <c r="E5" i="29"/>
  <c r="D5" i="29"/>
  <c r="C4" i="29"/>
  <c r="C48" i="28"/>
  <c r="C10" i="28" s="1"/>
  <c r="D39" i="28"/>
  <c r="D38" i="28"/>
  <c r="D37" i="28"/>
  <c r="D34" i="28"/>
  <c r="D20" i="28"/>
  <c r="C20" i="28"/>
  <c r="F5" i="28"/>
  <c r="E5" i="28"/>
  <c r="D5" i="28"/>
  <c r="C4" i="28"/>
  <c r="C48" i="25"/>
  <c r="C10" i="25" s="1"/>
  <c r="D39" i="25"/>
  <c r="D38" i="25"/>
  <c r="D37" i="25"/>
  <c r="D34" i="25"/>
  <c r="D20" i="25"/>
  <c r="C20" i="25"/>
  <c r="F5" i="25"/>
  <c r="E5" i="25"/>
  <c r="D5" i="25"/>
  <c r="C4" i="25"/>
  <c r="C48" i="24"/>
  <c r="D39" i="24"/>
  <c r="D38" i="24"/>
  <c r="D37" i="24"/>
  <c r="D34" i="24"/>
  <c r="D20" i="24"/>
  <c r="C20" i="24"/>
  <c r="F5" i="24"/>
  <c r="E5" i="24"/>
  <c r="D5" i="24"/>
  <c r="C4" i="24"/>
  <c r="C48" i="23"/>
  <c r="C10" i="23" s="1"/>
  <c r="D39" i="23"/>
  <c r="D38" i="23"/>
  <c r="D37" i="23"/>
  <c r="D34" i="23"/>
  <c r="D20" i="23"/>
  <c r="C20" i="23"/>
  <c r="F5" i="23"/>
  <c r="E5" i="23"/>
  <c r="D5" i="23"/>
  <c r="C4" i="23"/>
  <c r="C48" i="22"/>
  <c r="C10" i="22" s="1"/>
  <c r="D39" i="22"/>
  <c r="D38" i="22"/>
  <c r="D37" i="22"/>
  <c r="D34" i="22"/>
  <c r="D20" i="22"/>
  <c r="C20" i="22"/>
  <c r="F5" i="22"/>
  <c r="E5" i="22"/>
  <c r="D5" i="22"/>
  <c r="C4" i="22"/>
  <c r="C48" i="21"/>
  <c r="C10" i="21" s="1"/>
  <c r="D39" i="21"/>
  <c r="D38" i="21"/>
  <c r="D37" i="21"/>
  <c r="D34" i="21"/>
  <c r="D20" i="21"/>
  <c r="C20" i="21"/>
  <c r="F5" i="21"/>
  <c r="E5" i="21"/>
  <c r="D5" i="21"/>
  <c r="C4" i="21"/>
  <c r="C48" i="20"/>
  <c r="C10" i="20" s="1"/>
  <c r="D39" i="20"/>
  <c r="D38" i="20"/>
  <c r="D37" i="20"/>
  <c r="D34" i="20"/>
  <c r="D20" i="20"/>
  <c r="C20" i="20"/>
  <c r="F5" i="20"/>
  <c r="E5" i="20"/>
  <c r="D5" i="20"/>
  <c r="C48" i="19"/>
  <c r="C10" i="19" s="1"/>
  <c r="C30" i="19" s="1"/>
  <c r="D39" i="19"/>
  <c r="D38" i="19"/>
  <c r="D37" i="19"/>
  <c r="D34" i="19"/>
  <c r="D20" i="19"/>
  <c r="C20" i="19"/>
  <c r="F5" i="19"/>
  <c r="E5" i="19"/>
  <c r="D5" i="19"/>
  <c r="C4" i="19"/>
  <c r="C48" i="18"/>
  <c r="C10" i="18" s="1"/>
  <c r="D38" i="18"/>
  <c r="D37" i="18"/>
  <c r="D34" i="18"/>
  <c r="D20" i="18"/>
  <c r="C20" i="18"/>
  <c r="F5" i="18"/>
  <c r="E5" i="18"/>
  <c r="D5" i="18"/>
  <c r="C4" i="18"/>
  <c r="C48" i="17"/>
  <c r="C10" i="17" s="1"/>
  <c r="D39" i="17"/>
  <c r="D38" i="17"/>
  <c r="D37" i="17"/>
  <c r="D34" i="17"/>
  <c r="D20" i="17"/>
  <c r="C20" i="17"/>
  <c r="F5" i="17"/>
  <c r="E5" i="17"/>
  <c r="D5" i="17"/>
  <c r="C4" i="17"/>
  <c r="C48" i="16"/>
  <c r="C10" i="16" s="1"/>
  <c r="D39" i="16"/>
  <c r="D38" i="16"/>
  <c r="D37" i="16"/>
  <c r="D34" i="16"/>
  <c r="D20" i="16"/>
  <c r="C20" i="16"/>
  <c r="F5" i="16"/>
  <c r="E5" i="16"/>
  <c r="D5" i="16"/>
  <c r="C4" i="16"/>
  <c r="C48" i="15"/>
  <c r="C10" i="15" s="1"/>
  <c r="D39" i="15"/>
  <c r="D38" i="15"/>
  <c r="D37" i="15"/>
  <c r="D34" i="15"/>
  <c r="D20" i="15"/>
  <c r="C20" i="15"/>
  <c r="F5" i="15"/>
  <c r="E5" i="15"/>
  <c r="D5" i="15"/>
  <c r="C4" i="15"/>
  <c r="C48" i="14"/>
  <c r="C10" i="14" s="1"/>
  <c r="D39" i="14"/>
  <c r="D38" i="14"/>
  <c r="D37" i="14"/>
  <c r="D34" i="14"/>
  <c r="D20" i="14"/>
  <c r="C20" i="14"/>
  <c r="F5" i="14"/>
  <c r="E5" i="14"/>
  <c r="D5" i="14"/>
  <c r="C4" i="14"/>
  <c r="C48" i="13"/>
  <c r="C10" i="13" s="1"/>
  <c r="D39" i="13"/>
  <c r="D38" i="13"/>
  <c r="D37" i="13"/>
  <c r="D34" i="13"/>
  <c r="D20" i="13"/>
  <c r="C20" i="13"/>
  <c r="F5" i="13"/>
  <c r="E5" i="13"/>
  <c r="D5" i="13"/>
  <c r="C4" i="13"/>
  <c r="C48" i="36"/>
  <c r="D39" i="36"/>
  <c r="D38" i="36"/>
  <c r="D37" i="36"/>
  <c r="D34" i="36"/>
  <c r="D20" i="36"/>
  <c r="C20" i="36"/>
  <c r="C30" i="36" s="1"/>
  <c r="F5" i="36"/>
  <c r="E5" i="36"/>
  <c r="D5" i="36"/>
  <c r="C4" i="36"/>
  <c r="C48" i="11"/>
  <c r="C10" i="11" s="1"/>
  <c r="D39" i="11"/>
  <c r="D38" i="11"/>
  <c r="D34" i="11"/>
  <c r="D20" i="11"/>
  <c r="C20" i="11"/>
  <c r="F5" i="11"/>
  <c r="E5" i="11"/>
  <c r="D5" i="11"/>
  <c r="C4" i="11"/>
  <c r="C48" i="10"/>
  <c r="C10" i="10" s="1"/>
  <c r="D39" i="10"/>
  <c r="D38" i="10"/>
  <c r="D37" i="10"/>
  <c r="D34" i="10"/>
  <c r="D20" i="10"/>
  <c r="C20" i="10"/>
  <c r="F5" i="10"/>
  <c r="E5" i="10"/>
  <c r="D5" i="10"/>
  <c r="C4" i="10"/>
  <c r="C48" i="9"/>
  <c r="C10" i="9" s="1"/>
  <c r="C30" i="9" s="1"/>
  <c r="D39" i="9"/>
  <c r="D38" i="9"/>
  <c r="D37" i="9"/>
  <c r="D34" i="9"/>
  <c r="D20" i="9"/>
  <c r="C20" i="9"/>
  <c r="F5" i="9"/>
  <c r="E5" i="9"/>
  <c r="D5" i="9"/>
  <c r="C4" i="9"/>
  <c r="C48" i="8"/>
  <c r="C10" i="8" s="1"/>
  <c r="D38" i="8"/>
  <c r="D37" i="8"/>
  <c r="D34" i="8"/>
  <c r="D20" i="8"/>
  <c r="C20" i="8"/>
  <c r="F5" i="8"/>
  <c r="E5" i="8"/>
  <c r="D5" i="8"/>
  <c r="C4" i="8"/>
  <c r="C48" i="7"/>
  <c r="C10" i="7" s="1"/>
  <c r="D39" i="7"/>
  <c r="D38" i="7"/>
  <c r="D37" i="7"/>
  <c r="D34" i="7"/>
  <c r="D20" i="7"/>
  <c r="C20" i="7"/>
  <c r="F5" i="7"/>
  <c r="E5" i="7"/>
  <c r="D5" i="7"/>
  <c r="C4" i="7"/>
  <c r="D39" i="6"/>
  <c r="C4" i="6"/>
  <c r="C48" i="6"/>
  <c r="C10" i="6" s="1"/>
  <c r="D38" i="6"/>
  <c r="D37" i="6"/>
  <c r="D34" i="6"/>
  <c r="D20" i="6"/>
  <c r="C20" i="6"/>
  <c r="F5" i="6"/>
  <c r="E5" i="6"/>
  <c r="D5" i="6"/>
  <c r="C4" i="5"/>
  <c r="C48" i="5"/>
  <c r="C10" i="5" s="1"/>
  <c r="D38" i="5"/>
  <c r="D37" i="5"/>
  <c r="D34" i="5"/>
  <c r="D20" i="5"/>
  <c r="C20" i="5"/>
  <c r="F5" i="5"/>
  <c r="E5" i="5"/>
  <c r="D5" i="5"/>
  <c r="D37" i="4"/>
  <c r="C4" i="1"/>
  <c r="C30" i="17" l="1"/>
  <c r="C30" i="23"/>
  <c r="I4" i="11"/>
  <c r="C8" i="11" s="1"/>
  <c r="C30" i="25"/>
  <c r="D25" i="2"/>
  <c r="C30" i="30"/>
  <c r="C30" i="5"/>
  <c r="C30" i="13"/>
  <c r="I4" i="15"/>
  <c r="J4" i="15" s="1"/>
  <c r="D43" i="15" s="1"/>
  <c r="D48" i="15" s="1"/>
  <c r="D10" i="15" s="1"/>
  <c r="C30" i="15"/>
  <c r="C30" i="6"/>
  <c r="C30" i="8"/>
  <c r="I4" i="21"/>
  <c r="C8" i="21" s="1"/>
  <c r="I4" i="25"/>
  <c r="C8" i="25" s="1"/>
  <c r="C30" i="18"/>
  <c r="C30" i="22"/>
  <c r="C30" i="28"/>
  <c r="I4" i="19"/>
  <c r="C8" i="19" s="1"/>
  <c r="I4" i="20"/>
  <c r="J4" i="20" s="1"/>
  <c r="D43" i="20" s="1"/>
  <c r="D48" i="20" s="1"/>
  <c r="D10" i="20" s="1"/>
  <c r="D30" i="20" s="1"/>
  <c r="I4" i="24"/>
  <c r="C8" i="24" s="1"/>
  <c r="I4" i="31"/>
  <c r="I4" i="6"/>
  <c r="J4" i="6" s="1"/>
  <c r="D43" i="6" s="1"/>
  <c r="D48" i="6" s="1"/>
  <c r="D10" i="6" s="1"/>
  <c r="D30" i="6" s="1"/>
  <c r="C30" i="11"/>
  <c r="I4" i="36"/>
  <c r="J4" i="36" s="1"/>
  <c r="D43" i="36" s="1"/>
  <c r="D48" i="36" s="1"/>
  <c r="D10" i="36" s="1"/>
  <c r="D30" i="36" s="1"/>
  <c r="C30" i="16"/>
  <c r="I4" i="18"/>
  <c r="C8" i="18" s="1"/>
  <c r="C30" i="21"/>
  <c r="I4" i="23"/>
  <c r="J4" i="23" s="1"/>
  <c r="D43" i="23" s="1"/>
  <c r="D48" i="23" s="1"/>
  <c r="D10" i="23" s="1"/>
  <c r="D30" i="23" s="1"/>
  <c r="I4" i="29"/>
  <c r="C8" i="29" s="1"/>
  <c r="I4" i="30"/>
  <c r="J4" i="30" s="1"/>
  <c r="D43" i="30" s="1"/>
  <c r="D48" i="30" s="1"/>
  <c r="D10" i="30" s="1"/>
  <c r="D30" i="30" s="1"/>
  <c r="I4" i="7"/>
  <c r="J4" i="7" s="1"/>
  <c r="D43" i="7" s="1"/>
  <c r="D48" i="7" s="1"/>
  <c r="D10" i="7" s="1"/>
  <c r="D30" i="7" s="1"/>
  <c r="C30" i="7"/>
  <c r="I4" i="8"/>
  <c r="C30" i="10"/>
  <c r="C30" i="14"/>
  <c r="C30" i="20"/>
  <c r="I4" i="22"/>
  <c r="C8" i="22" s="1"/>
  <c r="C30" i="24"/>
  <c r="I4" i="28"/>
  <c r="J4" i="28" s="1"/>
  <c r="C30" i="31"/>
  <c r="I4" i="17"/>
  <c r="J4" i="17" s="1"/>
  <c r="D43" i="17" s="1"/>
  <c r="D48" i="17" s="1"/>
  <c r="D10" i="17" s="1"/>
  <c r="D30" i="17" s="1"/>
  <c r="I4" i="10"/>
  <c r="C8" i="10" s="1"/>
  <c r="I4" i="16"/>
  <c r="C8" i="16" s="1"/>
  <c r="I4" i="14"/>
  <c r="J4" i="14" s="1"/>
  <c r="D43" i="14" s="1"/>
  <c r="D48" i="14" s="1"/>
  <c r="D10" i="14" s="1"/>
  <c r="D30" i="14" s="1"/>
  <c r="I4" i="13"/>
  <c r="C8" i="13" s="1"/>
  <c r="I4" i="9"/>
  <c r="J4" i="9" s="1"/>
  <c r="C8" i="17"/>
  <c r="C8" i="8"/>
  <c r="J4" i="8"/>
  <c r="D43" i="8" s="1"/>
  <c r="D48" i="8" s="1"/>
  <c r="D10" i="8" s="1"/>
  <c r="D30" i="8" s="1"/>
  <c r="C8" i="7"/>
  <c r="I4" i="5"/>
  <c r="C8" i="6" l="1"/>
  <c r="D43" i="28"/>
  <c r="D48" i="28" s="1"/>
  <c r="D10" i="28" s="1"/>
  <c r="D30" i="28" s="1"/>
  <c r="J9" i="28"/>
  <c r="J4" i="11"/>
  <c r="D43" i="11" s="1"/>
  <c r="D48" i="11" s="1"/>
  <c r="D10" i="11" s="1"/>
  <c r="D30" i="11" s="1"/>
  <c r="J4" i="13"/>
  <c r="D43" i="13" s="1"/>
  <c r="D48" i="13" s="1"/>
  <c r="D10" i="13" s="1"/>
  <c r="D30" i="13" s="1"/>
  <c r="C8" i="28"/>
  <c r="C8" i="15"/>
  <c r="D30" i="15"/>
  <c r="C8" i="30"/>
  <c r="C8" i="31"/>
  <c r="J4" i="31"/>
  <c r="J4" i="29"/>
  <c r="D43" i="29" s="1"/>
  <c r="D48" i="29" s="1"/>
  <c r="D10" i="29" s="1"/>
  <c r="D30" i="29" s="1"/>
  <c r="J4" i="25"/>
  <c r="D43" i="25" s="1"/>
  <c r="D48" i="25" s="1"/>
  <c r="D10" i="25" s="1"/>
  <c r="D30" i="25" s="1"/>
  <c r="J4" i="22"/>
  <c r="D43" i="22" s="1"/>
  <c r="D48" i="22" s="1"/>
  <c r="D10" i="22" s="1"/>
  <c r="D30" i="22" s="1"/>
  <c r="J4" i="16"/>
  <c r="D43" i="16" s="1"/>
  <c r="D48" i="16" s="1"/>
  <c r="D10" i="16" s="1"/>
  <c r="D30" i="16" s="1"/>
  <c r="C8" i="9"/>
  <c r="J4" i="21"/>
  <c r="D43" i="21" s="1"/>
  <c r="D48" i="21" s="1"/>
  <c r="D10" i="21" s="1"/>
  <c r="D30" i="21" s="1"/>
  <c r="C8" i="23"/>
  <c r="C8" i="20"/>
  <c r="J4" i="19"/>
  <c r="D43" i="19" s="1"/>
  <c r="D48" i="19" s="1"/>
  <c r="D10" i="19" s="1"/>
  <c r="D30" i="19" s="1"/>
  <c r="J4" i="18"/>
  <c r="D43" i="18" s="1"/>
  <c r="D48" i="18" s="1"/>
  <c r="D10" i="18" s="1"/>
  <c r="D30" i="18" s="1"/>
  <c r="D43" i="9"/>
  <c r="D48" i="9" s="1"/>
  <c r="D10" i="9" s="1"/>
  <c r="D30" i="9" s="1"/>
  <c r="J4" i="5"/>
  <c r="D43" i="5" s="1"/>
  <c r="D48" i="5" s="1"/>
  <c r="D10" i="5" s="1"/>
  <c r="D30" i="5" s="1"/>
  <c r="J4" i="24"/>
  <c r="D43" i="24" s="1"/>
  <c r="D48" i="24" s="1"/>
  <c r="D10" i="24" s="1"/>
  <c r="D30" i="24" s="1"/>
  <c r="C8" i="5"/>
  <c r="J4" i="10"/>
  <c r="D48" i="10" s="1"/>
  <c r="D10" i="10" s="1"/>
  <c r="D30" i="10" s="1"/>
  <c r="C8" i="14"/>
  <c r="H13" i="3" l="1"/>
  <c r="I13" i="3"/>
  <c r="E13" i="3"/>
  <c r="F13" i="3"/>
  <c r="G13" i="3"/>
  <c r="AD17" i="35" l="1"/>
  <c r="AC17" i="35"/>
  <c r="Z17" i="35"/>
  <c r="L14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AB7" i="35"/>
  <c r="AC7" i="35"/>
  <c r="AD7" i="35"/>
  <c r="AE7" i="35"/>
  <c r="AF7" i="35"/>
  <c r="AG7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AB8" i="35"/>
  <c r="AC8" i="35"/>
  <c r="AD8" i="35"/>
  <c r="AE8" i="35"/>
  <c r="AF8" i="35"/>
  <c r="AG8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AB9" i="35"/>
  <c r="AC9" i="35"/>
  <c r="AD9" i="35"/>
  <c r="AE9" i="35"/>
  <c r="AF9" i="35"/>
  <c r="AG9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AB10" i="35"/>
  <c r="AC10" i="35"/>
  <c r="AD10" i="35"/>
  <c r="AE10" i="35"/>
  <c r="AF10" i="35"/>
  <c r="AG10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AB11" i="35"/>
  <c r="AC11" i="35"/>
  <c r="AD11" i="35"/>
  <c r="AE11" i="35"/>
  <c r="AF11" i="35"/>
  <c r="AG11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AB12" i="35"/>
  <c r="AC12" i="35"/>
  <c r="AD12" i="35"/>
  <c r="AE12" i="35"/>
  <c r="AF12" i="35"/>
  <c r="AG12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AB13" i="35"/>
  <c r="AC13" i="35"/>
  <c r="AD13" i="35"/>
  <c r="AE13" i="35"/>
  <c r="AF13" i="35"/>
  <c r="AG13" i="35"/>
  <c r="J14" i="35"/>
  <c r="K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AB14" i="35"/>
  <c r="AC14" i="35"/>
  <c r="AD14" i="35"/>
  <c r="AE14" i="35"/>
  <c r="AF14" i="35"/>
  <c r="AG14" i="35"/>
  <c r="AG6" i="35"/>
  <c r="AF6" i="35"/>
  <c r="AE6" i="35"/>
  <c r="AD6" i="35"/>
  <c r="AC6" i="35"/>
  <c r="AB6" i="35"/>
  <c r="Y6" i="35"/>
  <c r="X6" i="35"/>
  <c r="W6" i="35"/>
  <c r="V6" i="35"/>
  <c r="U6" i="35"/>
  <c r="U15" i="35" s="1"/>
  <c r="T6" i="35"/>
  <c r="S6" i="35"/>
  <c r="R6" i="35"/>
  <c r="Q6" i="35"/>
  <c r="P6" i="35"/>
  <c r="O6" i="35"/>
  <c r="N6" i="35"/>
  <c r="M6" i="35"/>
  <c r="M15" i="35" s="1"/>
  <c r="L6" i="35"/>
  <c r="K6" i="35"/>
  <c r="J6" i="35"/>
  <c r="I7" i="35"/>
  <c r="I8" i="35"/>
  <c r="I9" i="35"/>
  <c r="I10" i="35"/>
  <c r="I11" i="35"/>
  <c r="I12" i="35"/>
  <c r="I13" i="35"/>
  <c r="I14" i="35"/>
  <c r="I6" i="35"/>
  <c r="H7" i="35"/>
  <c r="H8" i="35"/>
  <c r="H9" i="35"/>
  <c r="H10" i="35"/>
  <c r="H11" i="35"/>
  <c r="H12" i="35"/>
  <c r="H13" i="35"/>
  <c r="H14" i="35"/>
  <c r="H6" i="35"/>
  <c r="G7" i="35"/>
  <c r="G8" i="35"/>
  <c r="G9" i="35"/>
  <c r="G10" i="35"/>
  <c r="G11" i="35"/>
  <c r="G12" i="35"/>
  <c r="G13" i="35"/>
  <c r="G14" i="35"/>
  <c r="G6" i="35"/>
  <c r="F7" i="35"/>
  <c r="F8" i="35"/>
  <c r="F9" i="35"/>
  <c r="F10" i="35"/>
  <c r="F11" i="35"/>
  <c r="F12" i="35"/>
  <c r="F13" i="35"/>
  <c r="F14" i="35"/>
  <c r="F6" i="35"/>
  <c r="E7" i="35"/>
  <c r="E8" i="35"/>
  <c r="E9" i="35"/>
  <c r="E10" i="35"/>
  <c r="E11" i="35"/>
  <c r="E12" i="35"/>
  <c r="E13" i="35"/>
  <c r="E14" i="35"/>
  <c r="E6" i="35"/>
  <c r="D7" i="35"/>
  <c r="D8" i="35"/>
  <c r="D9" i="35"/>
  <c r="D10" i="35"/>
  <c r="D11" i="35"/>
  <c r="D12" i="35"/>
  <c r="D13" i="35"/>
  <c r="D14" i="35"/>
  <c r="C8" i="35"/>
  <c r="C9" i="35"/>
  <c r="C10" i="35"/>
  <c r="C11" i="35"/>
  <c r="C12" i="35"/>
  <c r="C13" i="35"/>
  <c r="C14" i="35"/>
  <c r="C7" i="35"/>
  <c r="C6" i="35"/>
  <c r="D13" i="3"/>
  <c r="D37" i="1"/>
  <c r="D35" i="1"/>
  <c r="O15" i="35" l="1"/>
  <c r="V15" i="35"/>
  <c r="S15" i="35"/>
  <c r="W15" i="35"/>
  <c r="J15" i="35"/>
  <c r="N15" i="35"/>
  <c r="AF15" i="35"/>
  <c r="AA15" i="35"/>
  <c r="Z15" i="35"/>
  <c r="T15" i="35"/>
  <c r="R15" i="35"/>
  <c r="Q15" i="35"/>
  <c r="P15" i="35"/>
  <c r="I15" i="35"/>
  <c r="C15" i="35"/>
  <c r="K15" i="35"/>
  <c r="AG15" i="35"/>
  <c r="AF17" i="35"/>
  <c r="AG17" i="35"/>
  <c r="AE15" i="35"/>
  <c r="AC15" i="35"/>
  <c r="L15" i="35"/>
  <c r="AD15" i="35"/>
  <c r="AB15" i="35"/>
  <c r="Y17" i="35"/>
  <c r="Y15" i="35"/>
  <c r="X15" i="35"/>
  <c r="W17" i="35"/>
  <c r="U17" i="35"/>
  <c r="T17" i="35"/>
  <c r="Q17" i="35"/>
  <c r="P17" i="35"/>
  <c r="N17" i="35"/>
  <c r="M17" i="35"/>
  <c r="J13" i="3"/>
  <c r="L13" i="3" s="1"/>
  <c r="K17" i="35"/>
  <c r="I17" i="35"/>
  <c r="F17" i="35"/>
  <c r="E17" i="35"/>
  <c r="C48" i="1"/>
  <c r="C10" i="1" s="1"/>
  <c r="D20" i="1"/>
  <c r="C20" i="1"/>
  <c r="C18" i="2" s="1"/>
  <c r="F5" i="1"/>
  <c r="E5" i="1"/>
  <c r="D5" i="1"/>
  <c r="D20" i="4"/>
  <c r="C20" i="4"/>
  <c r="D38" i="4"/>
  <c r="D34" i="4"/>
  <c r="D18" i="2" l="1"/>
  <c r="I4" i="1"/>
  <c r="C8" i="1" s="1"/>
  <c r="R17" i="35"/>
  <c r="G17" i="35"/>
  <c r="C30" i="1"/>
  <c r="K13" i="3"/>
  <c r="AB17" i="35"/>
  <c r="X17" i="35"/>
  <c r="O17" i="35" l="1"/>
  <c r="S17" i="35"/>
  <c r="L17" i="35"/>
  <c r="H17" i="35"/>
  <c r="J17" i="35"/>
  <c r="V17" i="35"/>
  <c r="J4" i="1"/>
  <c r="D43" i="1" s="1"/>
  <c r="C17" i="35" l="1"/>
  <c r="D48" i="1"/>
  <c r="D10" i="1" s="1"/>
  <c r="D30" i="1" l="1"/>
  <c r="F5" i="4"/>
  <c r="E5" i="4"/>
  <c r="D5" i="4"/>
  <c r="D6" i="35"/>
  <c r="K7" i="3" l="1"/>
  <c r="I4" i="4"/>
  <c r="J4" i="4" s="1"/>
  <c r="K8" i="3"/>
  <c r="K11" i="3"/>
  <c r="K19" i="3"/>
  <c r="K25" i="3"/>
  <c r="K33" i="3"/>
  <c r="K14" i="3"/>
  <c r="K31" i="3"/>
  <c r="K30" i="3"/>
  <c r="K29" i="3"/>
  <c r="K26" i="3"/>
  <c r="K24" i="3"/>
  <c r="K17" i="3"/>
  <c r="K6" i="3"/>
  <c r="C8" i="4" l="1"/>
  <c r="K5" i="3"/>
  <c r="D43" i="4"/>
  <c r="K20" i="3"/>
  <c r="K12" i="3"/>
  <c r="K9" i="3"/>
  <c r="C48" i="4"/>
  <c r="C10" i="4" s="1"/>
  <c r="C8" i="2" s="1"/>
  <c r="K23" i="3"/>
  <c r="K21" i="3"/>
  <c r="K16" i="3"/>
  <c r="K15" i="3"/>
  <c r="K10" i="3"/>
  <c r="K22" i="3"/>
  <c r="K34" i="3"/>
  <c r="K18" i="3"/>
  <c r="C30" i="4" l="1"/>
  <c r="C29" i="2"/>
  <c r="D17" i="35"/>
  <c r="D48" i="4"/>
  <c r="D10" i="4" s="1"/>
  <c r="D15" i="35"/>
  <c r="H15" i="35"/>
  <c r="AH7" i="35"/>
  <c r="AH11" i="35"/>
  <c r="E15" i="35"/>
  <c r="F15" i="35"/>
  <c r="AH10" i="35"/>
  <c r="G15" i="35"/>
  <c r="AH9" i="35"/>
  <c r="AH8" i="35"/>
  <c r="AH12" i="35"/>
  <c r="AH6" i="35"/>
  <c r="D30" i="4" l="1"/>
  <c r="D5" i="3"/>
  <c r="D6" i="3"/>
  <c r="D4" i="3"/>
  <c r="E32" i="3" l="1"/>
  <c r="F32" i="3"/>
  <c r="G32" i="3"/>
  <c r="H32" i="3"/>
  <c r="I32" i="3"/>
  <c r="E33" i="3"/>
  <c r="F33" i="3"/>
  <c r="G33" i="3"/>
  <c r="H33" i="3"/>
  <c r="I33" i="3"/>
  <c r="E34" i="3"/>
  <c r="F34" i="3"/>
  <c r="G34" i="3"/>
  <c r="H34" i="3"/>
  <c r="I34" i="3"/>
  <c r="D34" i="3"/>
  <c r="D33" i="3"/>
  <c r="D32" i="3"/>
  <c r="E31" i="3"/>
  <c r="F31" i="3"/>
  <c r="G31" i="3"/>
  <c r="H31" i="3"/>
  <c r="I31" i="3"/>
  <c r="D31" i="3"/>
  <c r="E30" i="3"/>
  <c r="F30" i="3"/>
  <c r="G30" i="3"/>
  <c r="H30" i="3"/>
  <c r="I30" i="3"/>
  <c r="D30" i="3"/>
  <c r="E29" i="3"/>
  <c r="F29" i="3"/>
  <c r="G29" i="3"/>
  <c r="H29" i="3"/>
  <c r="I29" i="3"/>
  <c r="D29" i="3"/>
  <c r="E26" i="3"/>
  <c r="F26" i="3"/>
  <c r="G26" i="3"/>
  <c r="H26" i="3"/>
  <c r="I26" i="3"/>
  <c r="D26" i="3"/>
  <c r="E25" i="3"/>
  <c r="F25" i="3"/>
  <c r="G25" i="3"/>
  <c r="H25" i="3"/>
  <c r="I25" i="3"/>
  <c r="D25" i="3"/>
  <c r="E24" i="3"/>
  <c r="F24" i="3"/>
  <c r="G24" i="3"/>
  <c r="H24" i="3"/>
  <c r="I24" i="3"/>
  <c r="D24" i="3"/>
  <c r="E23" i="3"/>
  <c r="F23" i="3"/>
  <c r="G23" i="3"/>
  <c r="H23" i="3"/>
  <c r="I23" i="3"/>
  <c r="D23" i="3"/>
  <c r="E22" i="3"/>
  <c r="F22" i="3"/>
  <c r="G22" i="3"/>
  <c r="H22" i="3"/>
  <c r="I22" i="3"/>
  <c r="D22" i="3"/>
  <c r="E21" i="3"/>
  <c r="F21" i="3"/>
  <c r="G21" i="3"/>
  <c r="H21" i="3"/>
  <c r="I21" i="3"/>
  <c r="D21" i="3"/>
  <c r="E20" i="3"/>
  <c r="F20" i="3"/>
  <c r="G20" i="3"/>
  <c r="H20" i="3"/>
  <c r="I20" i="3"/>
  <c r="D20" i="3"/>
  <c r="E19" i="3"/>
  <c r="F19" i="3"/>
  <c r="G19" i="3"/>
  <c r="H19" i="3"/>
  <c r="I19" i="3"/>
  <c r="D19" i="3"/>
  <c r="E18" i="3"/>
  <c r="F18" i="3"/>
  <c r="G18" i="3"/>
  <c r="H18" i="3"/>
  <c r="I18" i="3"/>
  <c r="D18" i="3"/>
  <c r="E17" i="3"/>
  <c r="F17" i="3"/>
  <c r="G17" i="3"/>
  <c r="H17" i="3"/>
  <c r="I17" i="3"/>
  <c r="D17" i="3"/>
  <c r="E16" i="3"/>
  <c r="F16" i="3"/>
  <c r="G16" i="3"/>
  <c r="H16" i="3"/>
  <c r="I16" i="3"/>
  <c r="D16" i="3"/>
  <c r="E15" i="3"/>
  <c r="F15" i="3"/>
  <c r="G15" i="3"/>
  <c r="H15" i="3"/>
  <c r="I15" i="3"/>
  <c r="D15" i="3"/>
  <c r="E14" i="3"/>
  <c r="F14" i="3"/>
  <c r="G14" i="3"/>
  <c r="H14" i="3"/>
  <c r="I14" i="3"/>
  <c r="D14" i="3"/>
  <c r="E12" i="3"/>
  <c r="F12" i="3"/>
  <c r="G12" i="3"/>
  <c r="H12" i="3"/>
  <c r="I12" i="3"/>
  <c r="D12" i="3"/>
  <c r="E11" i="3"/>
  <c r="F11" i="3"/>
  <c r="G11" i="3"/>
  <c r="H11" i="3"/>
  <c r="I11" i="3"/>
  <c r="D11" i="3"/>
  <c r="E10" i="3"/>
  <c r="F10" i="3"/>
  <c r="G10" i="3"/>
  <c r="H10" i="3"/>
  <c r="I10" i="3"/>
  <c r="D10" i="3"/>
  <c r="E9" i="3"/>
  <c r="F9" i="3"/>
  <c r="G9" i="3"/>
  <c r="H9" i="3"/>
  <c r="I9" i="3"/>
  <c r="D9" i="3"/>
  <c r="E8" i="3"/>
  <c r="F8" i="3"/>
  <c r="G8" i="3"/>
  <c r="H8" i="3"/>
  <c r="I8" i="3"/>
  <c r="D8" i="3"/>
  <c r="E7" i="3"/>
  <c r="F7" i="3"/>
  <c r="G7" i="3"/>
  <c r="H7" i="3"/>
  <c r="I7" i="3"/>
  <c r="D7" i="3"/>
  <c r="E6" i="3"/>
  <c r="F6" i="3"/>
  <c r="G6" i="3"/>
  <c r="H6" i="3"/>
  <c r="I6" i="3"/>
  <c r="E5" i="3"/>
  <c r="F5" i="3"/>
  <c r="G5" i="3"/>
  <c r="H5" i="3"/>
  <c r="I5" i="3"/>
  <c r="E4" i="3"/>
  <c r="F4" i="3"/>
  <c r="G4" i="3"/>
  <c r="I4" i="3"/>
  <c r="J32" i="3" l="1"/>
  <c r="L32" i="3" s="1"/>
  <c r="J21" i="3"/>
  <c r="L21" i="3" s="1"/>
  <c r="J15" i="3"/>
  <c r="L15" i="3" s="1"/>
  <c r="J8" i="3"/>
  <c r="L8" i="3" s="1"/>
  <c r="I35" i="3"/>
  <c r="I37" i="3" s="1"/>
  <c r="E35" i="3"/>
  <c r="E37" i="3" s="1"/>
  <c r="G35" i="3"/>
  <c r="G37" i="3" s="1"/>
  <c r="F35" i="3"/>
  <c r="F37" i="3" s="1"/>
  <c r="J19" i="3" l="1"/>
  <c r="L19" i="3" s="1"/>
  <c r="J22" i="3"/>
  <c r="L22" i="3" s="1"/>
  <c r="J23" i="3"/>
  <c r="L23" i="3" s="1"/>
  <c r="J34" i="3"/>
  <c r="L34" i="3" s="1"/>
  <c r="J10" i="3"/>
  <c r="L10" i="3" s="1"/>
  <c r="J9" i="3"/>
  <c r="L9" i="3" s="1"/>
  <c r="J7" i="3"/>
  <c r="L7" i="3" s="1"/>
  <c r="J6" i="3"/>
  <c r="L6" i="3" s="1"/>
  <c r="J33" i="3"/>
  <c r="L33" i="3" s="1"/>
  <c r="J26" i="3"/>
  <c r="L26" i="3" s="1"/>
  <c r="J24" i="3"/>
  <c r="L24" i="3" s="1"/>
  <c r="J20" i="3"/>
  <c r="L20" i="3" s="1"/>
  <c r="J18" i="3"/>
  <c r="L18" i="3" s="1"/>
  <c r="J17" i="3"/>
  <c r="L17" i="3" s="1"/>
  <c r="J16" i="3"/>
  <c r="L16" i="3" s="1"/>
  <c r="J14" i="3"/>
  <c r="L14" i="3" s="1"/>
  <c r="J12" i="3"/>
  <c r="L12" i="3" s="1"/>
  <c r="J11" i="3"/>
  <c r="L11" i="3" s="1"/>
  <c r="J31" i="3"/>
  <c r="L31" i="3" s="1"/>
  <c r="J30" i="3"/>
  <c r="L30" i="3" s="1"/>
  <c r="J29" i="3"/>
  <c r="L29" i="3" s="1"/>
  <c r="J25" i="3"/>
  <c r="L25" i="3" s="1"/>
  <c r="J5" i="3"/>
  <c r="L5" i="3" s="1"/>
  <c r="AH13" i="35" l="1"/>
  <c r="D35" i="3" l="1"/>
  <c r="D37" i="3" s="1"/>
  <c r="H4" i="3"/>
  <c r="H35" i="3" s="1"/>
  <c r="H37" i="3" s="1"/>
  <c r="J4" i="3"/>
  <c r="J35" i="3" l="1"/>
  <c r="L4" i="3"/>
  <c r="C6" i="2"/>
  <c r="G6" i="2" s="1"/>
  <c r="K4" i="3"/>
  <c r="C30" i="2" l="1"/>
  <c r="J37" i="3"/>
  <c r="AH15" i="35"/>
  <c r="AH14" i="35"/>
  <c r="G8" i="2" l="1"/>
  <c r="G7" i="2"/>
  <c r="K32" i="3"/>
  <c r="K35" i="3" s="1"/>
  <c r="D43" i="31"/>
  <c r="D48" i="31" s="1"/>
  <c r="D10" i="31" s="1"/>
  <c r="D8" i="2" s="1"/>
  <c r="K37" i="3" l="1"/>
  <c r="D6" i="2"/>
  <c r="C33" i="2" s="1"/>
  <c r="D30" i="31"/>
  <c r="AE17" i="35"/>
  <c r="AH17" i="35" s="1"/>
  <c r="D29" i="2" l="1"/>
  <c r="C34" i="2" s="1"/>
  <c r="E16" i="2" l="1"/>
  <c r="E9" i="2"/>
  <c r="E14" i="2"/>
  <c r="E22" i="2"/>
  <c r="E11" i="2"/>
  <c r="E18" i="2"/>
  <c r="E23" i="2"/>
  <c r="E10" i="2"/>
  <c r="E12" i="2"/>
  <c r="D30" i="2"/>
  <c r="E27" i="2"/>
  <c r="E20" i="2"/>
  <c r="E21" i="2"/>
  <c r="E25" i="2"/>
  <c r="E17" i="2"/>
  <c r="E15" i="2"/>
  <c r="E29" i="2"/>
  <c r="E26" i="2"/>
  <c r="E19" i="2"/>
  <c r="E24" i="2"/>
  <c r="E13" i="2"/>
  <c r="E28" i="2"/>
  <c r="E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yuniesky</author>
  </authors>
  <commentList>
    <comment ref="C2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Compra bloques cuarto de hombre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<sst xmlns="http://schemas.openxmlformats.org/spreadsheetml/2006/main" count="1662" uniqueCount="151">
  <si>
    <t>Ventas Brutas</t>
  </si>
  <si>
    <t>Gastos</t>
  </si>
  <si>
    <t>Salario</t>
  </si>
  <si>
    <t>Renta</t>
  </si>
  <si>
    <t>Compras</t>
  </si>
  <si>
    <t>Electricidad</t>
  </si>
  <si>
    <t xml:space="preserve">Gas </t>
  </si>
  <si>
    <t>Transporte</t>
  </si>
  <si>
    <t>Comunicaciones</t>
  </si>
  <si>
    <t>Publicidad</t>
  </si>
  <si>
    <t>Insumos de Limpieza</t>
  </si>
  <si>
    <t>Mantenimiento</t>
  </si>
  <si>
    <t>VENTAS</t>
  </si>
  <si>
    <t>EURO</t>
  </si>
  <si>
    <t>USD</t>
  </si>
  <si>
    <t>EFECTIVO</t>
  </si>
  <si>
    <t>TOTAL</t>
  </si>
  <si>
    <t xml:space="preserve">Ventas   </t>
  </si>
  <si>
    <t>Total de Gastos</t>
  </si>
  <si>
    <t xml:space="preserve">Total </t>
  </si>
  <si>
    <t>CUENTA FISCAL</t>
  </si>
  <si>
    <t>TRANSFERENCIAS CUP</t>
  </si>
  <si>
    <t>TRANSFERENCIAS MLC</t>
  </si>
  <si>
    <t>Insumos para la tienda</t>
  </si>
  <si>
    <t>Día:2</t>
  </si>
  <si>
    <t>Turno</t>
  </si>
  <si>
    <t>Día:3</t>
  </si>
  <si>
    <t>Dia</t>
  </si>
  <si>
    <t>Día: 6</t>
  </si>
  <si>
    <t>Día: 7</t>
  </si>
  <si>
    <t>Día: 8</t>
  </si>
  <si>
    <t>Día: 9</t>
  </si>
  <si>
    <t>Día: 10</t>
  </si>
  <si>
    <t>Día: 11</t>
  </si>
  <si>
    <t>Día: 12</t>
  </si>
  <si>
    <t>% del total de gastos</t>
  </si>
  <si>
    <t>serán los gastos de salario en los que se incurre en el día</t>
  </si>
  <si>
    <t>monto de la factura pagada</t>
  </si>
  <si>
    <t>gastos de internet, recargas del móvil asociadas al funcionamiento del negocio, nauta, etc.</t>
  </si>
  <si>
    <t>material e insumos de limpieza asociados al funcionamiento del negocio</t>
  </si>
  <si>
    <t>LEYENDA</t>
  </si>
  <si>
    <t>GASTOS</t>
  </si>
  <si>
    <t xml:space="preserve">CONCEPTOS </t>
  </si>
  <si>
    <t>alquiler del espacio se registrará el día que se ejecute el gasto</t>
  </si>
  <si>
    <t>servicios de transportación de mercancía, mensajeria y servicios de taxi que sean a cuenta del  negocio</t>
  </si>
  <si>
    <t>insumos asociados a los embases y embalajes, bolsas , etiquetas,  jabas de nylon, asi como papel para la impresora, toner, etc.</t>
  </si>
  <si>
    <t>gastos de mantenimiento y reparacion del local, reposición de luces, pintura, gastos de plomería ect.</t>
  </si>
  <si>
    <t>Servicios contables</t>
  </si>
  <si>
    <t>pago al tenedor de libros o contador</t>
  </si>
  <si>
    <t>Promedio diario</t>
  </si>
  <si>
    <t>Otros servicios comprados</t>
  </si>
  <si>
    <t>Dia1</t>
  </si>
  <si>
    <t>Día 2</t>
  </si>
  <si>
    <t>Dia3</t>
  </si>
  <si>
    <t>Dia4</t>
  </si>
  <si>
    <t>Dia5</t>
  </si>
  <si>
    <t>Dia6</t>
  </si>
  <si>
    <t>Dia7</t>
  </si>
  <si>
    <t>Dia8</t>
  </si>
  <si>
    <t>Dia9</t>
  </si>
  <si>
    <t>Dia10</t>
  </si>
  <si>
    <t>Dia11</t>
  </si>
  <si>
    <t>Dia12</t>
  </si>
  <si>
    <t>Dia13</t>
  </si>
  <si>
    <t>Dia14</t>
  </si>
  <si>
    <t>Dia15</t>
  </si>
  <si>
    <t>Dia16</t>
  </si>
  <si>
    <t>Dia17</t>
  </si>
  <si>
    <t>Dia18</t>
  </si>
  <si>
    <t>Dia19</t>
  </si>
  <si>
    <t>Dia20</t>
  </si>
  <si>
    <t>Dia21</t>
  </si>
  <si>
    <t>Dia22</t>
  </si>
  <si>
    <t>Dia23</t>
  </si>
  <si>
    <t>Dia24</t>
  </si>
  <si>
    <t>Dia25</t>
  </si>
  <si>
    <t>Dia26</t>
  </si>
  <si>
    <t>Dia27</t>
  </si>
  <si>
    <t>Dia28</t>
  </si>
  <si>
    <t>Dia29</t>
  </si>
  <si>
    <t>Dia30</t>
  </si>
  <si>
    <t>Dia31</t>
  </si>
  <si>
    <t>TOTAL MES</t>
  </si>
  <si>
    <t>Pantry</t>
  </si>
  <si>
    <t>gastos de café, agua, jugos u otros</t>
  </si>
  <si>
    <t>gastos asociados a la publicidad y promoción del negocio,  modelos, trabajo en redes u otros asociados</t>
  </si>
  <si>
    <t xml:space="preserve">compra de mercancias  para la venta </t>
  </si>
  <si>
    <t>pagos de otros servicios, por ejemplo: combustible, asesorías, trabajos profesionales</t>
  </si>
  <si>
    <t>TRANSFERENCIAS ZELLE</t>
  </si>
  <si>
    <t>TOTAL USD</t>
  </si>
  <si>
    <t>Jacqueline</t>
  </si>
  <si>
    <t>Yeni</t>
  </si>
  <si>
    <t>Daniela</t>
  </si>
  <si>
    <t>Aileen</t>
  </si>
  <si>
    <t>Laura</t>
  </si>
  <si>
    <t>Vanessa</t>
  </si>
  <si>
    <t>Magaly</t>
  </si>
  <si>
    <t>Lisandra</t>
  </si>
  <si>
    <t>Pago de colaboración modelos</t>
  </si>
  <si>
    <t>Comunity manager</t>
  </si>
  <si>
    <t>Creador de contenido</t>
  </si>
  <si>
    <t>CUP</t>
  </si>
  <si>
    <t>Perfumes Juank</t>
  </si>
  <si>
    <t>H&amp;M</t>
  </si>
  <si>
    <t>Otros</t>
  </si>
  <si>
    <t>Transferencias CUP</t>
  </si>
  <si>
    <t>Mensajería</t>
  </si>
  <si>
    <t>Día: 4</t>
  </si>
  <si>
    <t>Impuestos pagados</t>
  </si>
  <si>
    <t xml:space="preserve">Ventas </t>
  </si>
  <si>
    <t>Utilidad</t>
  </si>
  <si>
    <t>Total de gasto por peso de Ingreso</t>
  </si>
  <si>
    <t xml:space="preserve">Costo de  la mercancía </t>
  </si>
  <si>
    <t>Día: 1</t>
  </si>
  <si>
    <t>TRANSFERENCIA A CUENTA FISCAL (4660)</t>
  </si>
  <si>
    <t>EFECTIVO CUP</t>
  </si>
  <si>
    <t>Día: 5</t>
  </si>
  <si>
    <t>Mensajería bolsas</t>
  </si>
  <si>
    <t>200 Bolsas</t>
  </si>
  <si>
    <t>Fotos</t>
  </si>
  <si>
    <t>Día: 13</t>
  </si>
  <si>
    <t>Día: 14</t>
  </si>
  <si>
    <t>Día: 15</t>
  </si>
  <si>
    <t>Día: 16</t>
  </si>
  <si>
    <t>Día: 17</t>
  </si>
  <si>
    <t>Día: 18</t>
  </si>
  <si>
    <t>Día: 19</t>
  </si>
  <si>
    <t xml:space="preserve">Otros servicios comprados </t>
  </si>
  <si>
    <t>(base teléfono)</t>
  </si>
  <si>
    <t>pintura cuarto hombre</t>
  </si>
  <si>
    <t>20 albañil</t>
  </si>
  <si>
    <t>60 usd +20 mil transf</t>
  </si>
  <si>
    <t>Día: 21</t>
  </si>
  <si>
    <t>Día: 22</t>
  </si>
  <si>
    <t>Día: 23</t>
  </si>
  <si>
    <t>Día: 24</t>
  </si>
  <si>
    <t>Día: 25</t>
  </si>
  <si>
    <t>Día: 26</t>
  </si>
  <si>
    <t>Día: 27</t>
  </si>
  <si>
    <t>Día: 28</t>
  </si>
  <si>
    <t>Día: 29</t>
  </si>
  <si>
    <t>Día: 30</t>
  </si>
  <si>
    <t>Día: 31</t>
  </si>
  <si>
    <t>210 bolsas de cartón</t>
  </si>
  <si>
    <t xml:space="preserve"> </t>
  </si>
  <si>
    <t>MES: MARZO</t>
  </si>
  <si>
    <t>Impuesto sobre ventas</t>
  </si>
  <si>
    <t>Contrib. Esp. Trabajador seg social, retenciones</t>
  </si>
  <si>
    <t>Contribución a la seguridad social</t>
  </si>
  <si>
    <t>Impuestos sobre ingresos personales- aporte mensual</t>
  </si>
  <si>
    <t>Impuestos sobre ingresos personales- retención 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</si>
</sst>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.00"/>
    <numFmt numFmtId="165" formatCode="0.0%"/>
    <numFmt numFmtId="166" formatCode="#,##0.0"/>
    <numFmt numFmtId="167" formatCode="[$USD]\ #,##0.00"/>
    <numFmt numFmtId="168" formatCode="[$$-409]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5" fontId="0" fillId="0" borderId="1" xfId="1" applyNumberFormat="1" applyFont="1" applyBorder="1"/>
    <xf numFmtId="164" fontId="3" fillId="3" borderId="3" xfId="0" applyNumberFormat="1" applyFont="1" applyFill="1" applyBorder="1"/>
    <xf numFmtId="164" fontId="3" fillId="3" borderId="4" xfId="0" applyNumberFormat="1" applyFont="1" applyFill="1" applyBorder="1"/>
    <xf numFmtId="164" fontId="3" fillId="3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0" fontId="3" fillId="3" borderId="3" xfId="0" applyFont="1" applyFill="1" applyBorder="1"/>
    <xf numFmtId="164" fontId="3" fillId="3" borderId="7" xfId="0" applyNumberFormat="1" applyFont="1" applyFill="1" applyBorder="1"/>
    <xf numFmtId="164" fontId="0" fillId="0" borderId="6" xfId="0" applyNumberFormat="1" applyBorder="1"/>
    <xf numFmtId="164" fontId="0" fillId="0" borderId="0" xfId="0" applyNumberFormat="1"/>
    <xf numFmtId="164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/>
    <xf numFmtId="164" fontId="0" fillId="0" borderId="10" xfId="0" applyNumberFormat="1" applyBorder="1"/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6" xfId="0" applyBorder="1"/>
    <xf numFmtId="0" fontId="2" fillId="0" borderId="8" xfId="0" applyFont="1" applyBorder="1"/>
    <xf numFmtId="166" fontId="0" fillId="0" borderId="1" xfId="0" applyNumberFormat="1" applyBorder="1"/>
    <xf numFmtId="9" fontId="0" fillId="0" borderId="1" xfId="0" applyNumberFormat="1" applyBorder="1"/>
    <xf numFmtId="9" fontId="0" fillId="0" borderId="5" xfId="0" applyNumberFormat="1" applyBorder="1"/>
    <xf numFmtId="164" fontId="0" fillId="0" borderId="11" xfId="0" applyNumberFormat="1" applyBorder="1"/>
    <xf numFmtId="164" fontId="2" fillId="0" borderId="11" xfId="0" applyNumberFormat="1" applyFont="1" applyBorder="1"/>
    <xf numFmtId="2" fontId="0" fillId="0" borderId="1" xfId="0" applyNumberFormat="1" applyBorder="1"/>
    <xf numFmtId="0" fontId="0" fillId="0" borderId="1" xfId="0" applyBorder="1" applyAlignment="1">
      <alignment horizontal="left" indent="1"/>
    </xf>
    <xf numFmtId="0" fontId="2" fillId="2" borderId="5" xfId="0" applyFont="1" applyFill="1" applyBorder="1"/>
    <xf numFmtId="164" fontId="0" fillId="0" borderId="8" xfId="0" applyNumberFormat="1" applyBorder="1"/>
    <xf numFmtId="167" fontId="0" fillId="0" borderId="1" xfId="0" applyNumberFormat="1" applyBorder="1"/>
    <xf numFmtId="167" fontId="2" fillId="0" borderId="1" xfId="0" applyNumberFormat="1" applyFont="1" applyBorder="1"/>
    <xf numFmtId="165" fontId="2" fillId="0" borderId="1" xfId="1" applyNumberFormat="1" applyFont="1" applyBorder="1"/>
    <xf numFmtId="0" fontId="2" fillId="4" borderId="1" xfId="0" applyFont="1" applyFill="1" applyBorder="1"/>
    <xf numFmtId="166" fontId="0" fillId="0" borderId="0" xfId="0" applyNumberFormat="1"/>
    <xf numFmtId="4" fontId="0" fillId="0" borderId="0" xfId="0" applyNumberFormat="1"/>
    <xf numFmtId="0" fontId="0" fillId="4" borderId="1" xfId="0" applyFill="1" applyBorder="1"/>
    <xf numFmtId="0" fontId="0" fillId="4" borderId="0" xfId="0" applyFill="1"/>
    <xf numFmtId="164" fontId="0" fillId="0" borderId="1" xfId="0" applyNumberFormat="1" applyBorder="1" applyAlignment="1">
      <alignment horizontal="right"/>
    </xf>
    <xf numFmtId="164" fontId="5" fillId="0" borderId="1" xfId="0" applyNumberFormat="1" applyFont="1" applyBorder="1"/>
    <xf numFmtId="3" fontId="0" fillId="0" borderId="0" xfId="0" applyNumberFormat="1"/>
    <xf numFmtId="2" fontId="6" fillId="0" borderId="1" xfId="0" applyNumberFormat="1" applyFont="1" applyBorder="1"/>
    <xf numFmtId="0" fontId="0" fillId="0" borderId="0" xfId="0" applyAlignment="1">
      <alignment horizontal="right"/>
    </xf>
    <xf numFmtId="168" fontId="0" fillId="0" borderId="0" xfId="0" applyNumberFormat="1"/>
    <xf numFmtId="0" fontId="2" fillId="0" borderId="0" xfId="0" applyFont="1" applyAlignment="1">
      <alignment horizontal="left"/>
    </xf>
    <xf numFmtId="167" fontId="0" fillId="0" borderId="0" xfId="0" applyNumberFormat="1"/>
    <xf numFmtId="1" fontId="0" fillId="0" borderId="1" xfId="0" applyNumberFormat="1" applyBorder="1"/>
    <xf numFmtId="0" fontId="9" fillId="0" borderId="0" xfId="0" applyFont="1"/>
    <xf numFmtId="0" fontId="0" fillId="0" borderId="0" xfId="0" quotePrefix="1"/>
    <xf numFmtId="4" fontId="2" fillId="0" borderId="1" xfId="0" applyNumberFormat="1" applyFont="1" applyBorder="1"/>
    <xf numFmtId="4" fontId="0" fillId="0" borderId="1" xfId="0" applyNumberFormat="1" applyBorder="1"/>
    <xf numFmtId="164" fontId="0" fillId="2" borderId="1" xfId="0" applyNumberForma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9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17"/>
  <sheetViews>
    <sheetView zoomScale="70" zoomScaleNormal="70" workbookViewId="0">
      <selection activeCell="C18" sqref="C18"/>
    </sheetView>
  </sheetViews>
  <sheetFormatPr baseColWidth="10" defaultColWidth="11.33203125" defaultRowHeight="15" x14ac:dyDescent="0.2"/>
  <cols>
    <col min="3" max="3" width="23.83203125" customWidth="1"/>
    <col min="4" max="4" width="112.83203125" customWidth="1"/>
  </cols>
  <sheetData>
    <row r="2" spans="3:4" x14ac:dyDescent="0.2">
      <c r="C2" s="55" t="s">
        <v>40</v>
      </c>
      <c r="D2" s="56"/>
    </row>
    <row r="3" spans="3:4" x14ac:dyDescent="0.2">
      <c r="C3" s="5" t="s">
        <v>41</v>
      </c>
      <c r="D3" s="5" t="s">
        <v>42</v>
      </c>
    </row>
    <row r="4" spans="3:4" x14ac:dyDescent="0.2">
      <c r="C4" s="23" t="s">
        <v>2</v>
      </c>
      <c r="D4" s="3" t="s">
        <v>36</v>
      </c>
    </row>
    <row r="5" spans="3:4" x14ac:dyDescent="0.2">
      <c r="C5" s="1" t="s">
        <v>3</v>
      </c>
      <c r="D5" s="3" t="s">
        <v>43</v>
      </c>
    </row>
    <row r="6" spans="3:4" x14ac:dyDescent="0.2">
      <c r="C6" s="1" t="s">
        <v>4</v>
      </c>
      <c r="D6" s="3" t="s">
        <v>86</v>
      </c>
    </row>
    <row r="7" spans="3:4" x14ac:dyDescent="0.2">
      <c r="C7" s="1" t="s">
        <v>5</v>
      </c>
      <c r="D7" s="3" t="s">
        <v>37</v>
      </c>
    </row>
    <row r="8" spans="3:4" x14ac:dyDescent="0.2">
      <c r="C8" s="1" t="s">
        <v>6</v>
      </c>
      <c r="D8" s="3" t="s">
        <v>37</v>
      </c>
    </row>
    <row r="9" spans="3:4" x14ac:dyDescent="0.2">
      <c r="C9" s="1" t="s">
        <v>7</v>
      </c>
      <c r="D9" s="3" t="s">
        <v>44</v>
      </c>
    </row>
    <row r="10" spans="3:4" x14ac:dyDescent="0.2">
      <c r="C10" s="1" t="s">
        <v>83</v>
      </c>
      <c r="D10" s="3" t="s">
        <v>84</v>
      </c>
    </row>
    <row r="11" spans="3:4" x14ac:dyDescent="0.2">
      <c r="C11" s="1" t="s">
        <v>8</v>
      </c>
      <c r="D11" s="3" t="s">
        <v>38</v>
      </c>
    </row>
    <row r="12" spans="3:4" x14ac:dyDescent="0.2">
      <c r="C12" s="1" t="s">
        <v>9</v>
      </c>
      <c r="D12" s="3" t="s">
        <v>85</v>
      </c>
    </row>
    <row r="13" spans="3:4" x14ac:dyDescent="0.2">
      <c r="C13" s="1" t="s">
        <v>10</v>
      </c>
      <c r="D13" s="3" t="s">
        <v>39</v>
      </c>
    </row>
    <row r="14" spans="3:4" x14ac:dyDescent="0.2">
      <c r="C14" s="1" t="s">
        <v>11</v>
      </c>
      <c r="D14" s="3" t="s">
        <v>46</v>
      </c>
    </row>
    <row r="15" spans="3:4" x14ac:dyDescent="0.2">
      <c r="C15" s="1" t="s">
        <v>23</v>
      </c>
      <c r="D15" s="3" t="s">
        <v>45</v>
      </c>
    </row>
    <row r="16" spans="3:4" x14ac:dyDescent="0.2">
      <c r="C16" s="1" t="s">
        <v>47</v>
      </c>
      <c r="D16" s="3" t="s">
        <v>48</v>
      </c>
    </row>
    <row r="17" spans="3:4" x14ac:dyDescent="0.2">
      <c r="C17" s="1" t="s">
        <v>50</v>
      </c>
      <c r="D17" s="3" t="s">
        <v>87</v>
      </c>
    </row>
  </sheetData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8"/>
  <sheetViews>
    <sheetView topLeftCell="A2" zoomScale="85" zoomScaleNormal="85" workbookViewId="0">
      <selection activeCell="I11" sqref="I11"/>
    </sheetView>
  </sheetViews>
  <sheetFormatPr baseColWidth="10" defaultColWidth="11.33203125" defaultRowHeight="15" x14ac:dyDescent="0.2"/>
  <cols>
    <col min="2" max="2" width="8.6640625" customWidth="1"/>
    <col min="3" max="3" width="11.6640625" customWidth="1"/>
    <col min="4" max="4" width="21.6640625" customWidth="1"/>
    <col min="5" max="5" width="22" customWidth="1"/>
    <col min="8" max="8" width="14" customWidth="1"/>
    <col min="9" max="10" width="15" customWidth="1"/>
    <col min="13" max="13" width="12.6640625" bestFit="1" customWidth="1"/>
  </cols>
  <sheetData>
    <row r="2" spans="2:12" x14ac:dyDescent="0.2">
      <c r="C2" s="17" t="s">
        <v>12</v>
      </c>
    </row>
    <row r="3" spans="2:12" x14ac:dyDescent="0.2">
      <c r="B3" s="17" t="s">
        <v>27</v>
      </c>
      <c r="C3" s="17" t="s">
        <v>25</v>
      </c>
      <c r="D3" s="10" t="s">
        <v>21</v>
      </c>
      <c r="E3" s="10" t="s">
        <v>88</v>
      </c>
      <c r="F3" s="10" t="s">
        <v>13</v>
      </c>
      <c r="G3" s="10" t="s">
        <v>14</v>
      </c>
      <c r="H3" s="10" t="s">
        <v>15</v>
      </c>
      <c r="I3" s="18" t="s">
        <v>20</v>
      </c>
      <c r="J3" s="10" t="s">
        <v>16</v>
      </c>
      <c r="K3" s="10" t="s">
        <v>89</v>
      </c>
    </row>
    <row r="4" spans="2:12" x14ac:dyDescent="0.2">
      <c r="B4" s="1">
        <v>1</v>
      </c>
      <c r="C4" s="20"/>
      <c r="D4" s="4">
        <f>+'Dia 1'!C4</f>
        <v>0</v>
      </c>
      <c r="E4" s="19">
        <f>+'Dia 1'!D4</f>
        <v>0</v>
      </c>
      <c r="F4" s="19">
        <f>+'Dia 1'!E4</f>
        <v>0</v>
      </c>
      <c r="G4" s="19">
        <f>+'Dia 1'!F4</f>
        <v>169</v>
      </c>
      <c r="H4" s="19">
        <f>+'Dia 1'!G4</f>
        <v>0</v>
      </c>
      <c r="I4" s="19">
        <f>+'Dia 1'!H4</f>
        <v>0</v>
      </c>
      <c r="J4" s="19">
        <f>+'Dia 1'!I4</f>
        <v>86190</v>
      </c>
      <c r="K4" s="4">
        <f>+'Dia 1'!J4</f>
        <v>169</v>
      </c>
      <c r="L4" s="16">
        <f>J4*0.042</f>
        <v>3619.98</v>
      </c>
    </row>
    <row r="5" spans="2:12" x14ac:dyDescent="0.2">
      <c r="B5" s="1">
        <v>2</v>
      </c>
      <c r="C5" s="21"/>
      <c r="D5" s="4">
        <f>+'Dia 2'!C4</f>
        <v>0</v>
      </c>
      <c r="E5" s="4">
        <f>+'Dia 2'!D4</f>
        <v>0</v>
      </c>
      <c r="F5" s="4">
        <f>+'Dia 2'!E4</f>
        <v>0</v>
      </c>
      <c r="G5" s="4">
        <f>+'Dia 2'!F4</f>
        <v>0</v>
      </c>
      <c r="H5" s="4">
        <f>+'Dia 2'!G4</f>
        <v>0</v>
      </c>
      <c r="I5" s="4">
        <f>+'Dia 2'!H4</f>
        <v>0</v>
      </c>
      <c r="J5" s="4">
        <f>+'Dia 2'!I4</f>
        <v>0</v>
      </c>
      <c r="K5" s="4">
        <f>+'Dia 2'!J4</f>
        <v>0</v>
      </c>
      <c r="L5" s="16">
        <f t="shared" ref="L5:L34" si="0">J5*0.042</f>
        <v>0</v>
      </c>
    </row>
    <row r="6" spans="2:12" x14ac:dyDescent="0.2">
      <c r="B6" s="1">
        <v>3</v>
      </c>
      <c r="C6" s="22"/>
      <c r="D6" s="4">
        <f>+'Dia 3'!C4</f>
        <v>135130</v>
      </c>
      <c r="E6" s="4">
        <f>+'Dia 3'!D4</f>
        <v>0</v>
      </c>
      <c r="F6" s="4">
        <f>+'Dia 3'!E4</f>
        <v>0</v>
      </c>
      <c r="G6" s="4">
        <f>+'Dia 3'!F4</f>
        <v>574</v>
      </c>
      <c r="H6" s="4">
        <f>+'Dia 3'!G4</f>
        <v>0</v>
      </c>
      <c r="I6" s="4">
        <f>+'Dia 3'!H4</f>
        <v>50000</v>
      </c>
      <c r="J6" s="4">
        <f>+'Dia 3'!I4</f>
        <v>477870</v>
      </c>
      <c r="K6" s="4">
        <f>+'Dia 3'!J4</f>
        <v>937</v>
      </c>
      <c r="L6" s="16">
        <f t="shared" si="0"/>
        <v>20070.54</v>
      </c>
    </row>
    <row r="7" spans="2:12" x14ac:dyDescent="0.2">
      <c r="B7" s="1">
        <v>4</v>
      </c>
      <c r="C7" s="22"/>
      <c r="D7" s="4">
        <f>+'Dia 4'!C4</f>
        <v>0</v>
      </c>
      <c r="E7" s="4">
        <f>+'Dia 4'!D4</f>
        <v>0</v>
      </c>
      <c r="F7" s="4">
        <f>+'Dia 4'!E4</f>
        <v>0</v>
      </c>
      <c r="G7" s="4">
        <f>+'Dia 4'!F4</f>
        <v>110</v>
      </c>
      <c r="H7" s="4">
        <f>+'Dia 4'!G4</f>
        <v>0</v>
      </c>
      <c r="I7" s="4">
        <f>+'Dia 4'!H4</f>
        <v>0</v>
      </c>
      <c r="J7" s="4">
        <f>+'Dia 4'!I4</f>
        <v>56100</v>
      </c>
      <c r="K7" s="4">
        <f>+'Dia 4'!J4</f>
        <v>110</v>
      </c>
      <c r="L7" s="16">
        <f t="shared" si="0"/>
        <v>2356.2000000000003</v>
      </c>
    </row>
    <row r="8" spans="2:12" x14ac:dyDescent="0.2">
      <c r="B8" s="1">
        <v>5</v>
      </c>
      <c r="C8" s="22"/>
      <c r="D8" s="4">
        <f>+'Dia 5'!C4</f>
        <v>10000</v>
      </c>
      <c r="E8" s="4">
        <f>+'Dia 5'!D4</f>
        <v>0</v>
      </c>
      <c r="F8" s="4">
        <f>+'Dia 5'!E4</f>
        <v>0</v>
      </c>
      <c r="G8" s="4">
        <f>+'Dia 5'!F4</f>
        <v>36</v>
      </c>
      <c r="H8" s="4">
        <f>+'Dia 5'!G4</f>
        <v>0</v>
      </c>
      <c r="I8" s="54">
        <f>+'Dia 5'!H4</f>
        <v>15500</v>
      </c>
      <c r="J8" s="4">
        <f>+'Dia 5'!I4</f>
        <v>43860</v>
      </c>
      <c r="K8" s="4">
        <f>+'Dia 5'!J4</f>
        <v>86</v>
      </c>
      <c r="L8" s="16">
        <f t="shared" si="0"/>
        <v>1842.1200000000001</v>
      </c>
    </row>
    <row r="9" spans="2:12" x14ac:dyDescent="0.2">
      <c r="B9" s="1">
        <v>6</v>
      </c>
      <c r="C9" s="22"/>
      <c r="D9" s="4">
        <f>+'Dia 6'!C4</f>
        <v>0</v>
      </c>
      <c r="E9" s="4">
        <f>+'Dia 6'!D4</f>
        <v>74</v>
      </c>
      <c r="F9" s="4">
        <f>+'Dia 6'!E4</f>
        <v>0</v>
      </c>
      <c r="G9" s="4">
        <f>+'Dia 6'!F4</f>
        <v>65</v>
      </c>
      <c r="H9" s="4">
        <f>+'Dia 6'!G4</f>
        <v>0</v>
      </c>
      <c r="I9" s="4">
        <f>+'Dia 6'!H4</f>
        <v>0</v>
      </c>
      <c r="J9" s="4">
        <f>+'Dia 6'!I4</f>
        <v>70890</v>
      </c>
      <c r="K9" s="4">
        <f>+'Dia 6'!J4</f>
        <v>139</v>
      </c>
      <c r="L9" s="16">
        <f t="shared" si="0"/>
        <v>2977.38</v>
      </c>
    </row>
    <row r="10" spans="2:12" x14ac:dyDescent="0.2">
      <c r="B10" s="1">
        <v>7</v>
      </c>
      <c r="C10" s="22"/>
      <c r="D10" s="4">
        <f>+'Dia 7'!C4</f>
        <v>20000</v>
      </c>
      <c r="E10" s="4">
        <f>+'Dia 7'!D4</f>
        <v>0</v>
      </c>
      <c r="F10" s="4">
        <f>+'Dia 7'!E4</f>
        <v>0</v>
      </c>
      <c r="G10" s="4">
        <f>+'Dia 7'!F4</f>
        <v>405</v>
      </c>
      <c r="H10" s="4">
        <f>+'Dia 7'!G4</f>
        <v>25500</v>
      </c>
      <c r="I10" s="4">
        <f>+'Dia 7'!H4</f>
        <v>5500</v>
      </c>
      <c r="J10" s="4">
        <f>+'Dia 7'!I4</f>
        <v>257550</v>
      </c>
      <c r="K10" s="4">
        <f>+'Dia 7'!J4</f>
        <v>505</v>
      </c>
      <c r="L10" s="16">
        <f t="shared" si="0"/>
        <v>10817.1</v>
      </c>
    </row>
    <row r="11" spans="2:12" x14ac:dyDescent="0.2">
      <c r="B11" s="1">
        <v>8</v>
      </c>
      <c r="C11" s="22"/>
      <c r="D11" s="4">
        <f>+'Dia 8'!C4</f>
        <v>0</v>
      </c>
      <c r="E11" s="4">
        <f>+'Dia 8'!D4</f>
        <v>0</v>
      </c>
      <c r="F11" s="4">
        <f>+'Dia 8'!E4</f>
        <v>0</v>
      </c>
      <c r="G11" s="4">
        <f>+'Dia 8'!F4</f>
        <v>184</v>
      </c>
      <c r="H11" s="4">
        <f>+'Dia 8'!G4</f>
        <v>122200</v>
      </c>
      <c r="I11" s="54">
        <f>+'Dia 8'!H4</f>
        <v>1100</v>
      </c>
      <c r="J11" s="4">
        <f>+'Dia 8'!I4</f>
        <v>217140</v>
      </c>
      <c r="K11" s="4">
        <f>+'Dia 8'!J4</f>
        <v>425.76470588235293</v>
      </c>
      <c r="L11" s="16">
        <f t="shared" si="0"/>
        <v>9119.880000000001</v>
      </c>
    </row>
    <row r="12" spans="2:12" x14ac:dyDescent="0.2">
      <c r="B12" s="1">
        <v>9</v>
      </c>
      <c r="C12" s="22"/>
      <c r="D12" s="4">
        <f>+'Dia 9'!C4</f>
        <v>0</v>
      </c>
      <c r="E12" s="4">
        <f>+'Dia 9'!D4</f>
        <v>0</v>
      </c>
      <c r="F12" s="4">
        <f>+'Dia 9'!E4</f>
        <v>0</v>
      </c>
      <c r="G12" s="4">
        <f>+'Dia 9'!F4</f>
        <v>60</v>
      </c>
      <c r="H12" s="4">
        <f>+'Dia 9'!G4</f>
        <v>12750</v>
      </c>
      <c r="I12" s="4">
        <f>+'Dia 9'!H4</f>
        <v>0</v>
      </c>
      <c r="J12" s="4">
        <f>+'Dia 9'!I4</f>
        <v>43350</v>
      </c>
      <c r="K12" s="4">
        <f>+'Dia 9'!J4</f>
        <v>85</v>
      </c>
      <c r="L12" s="16">
        <f t="shared" si="0"/>
        <v>1820.7</v>
      </c>
    </row>
    <row r="13" spans="2:12" x14ac:dyDescent="0.2">
      <c r="B13" s="1">
        <v>10</v>
      </c>
      <c r="C13" s="22"/>
      <c r="D13" s="4">
        <f>+'Dia 10'!C4</f>
        <v>0</v>
      </c>
      <c r="E13" s="4">
        <f>+'Dia 10'!D4</f>
        <v>0</v>
      </c>
      <c r="F13" s="4">
        <f>+'Dia 10'!E4</f>
        <v>0</v>
      </c>
      <c r="G13" s="4">
        <f>+'Dia 10'!F4</f>
        <v>158</v>
      </c>
      <c r="H13" s="4">
        <f>+'Dia 10'!G4</f>
        <v>0</v>
      </c>
      <c r="I13" s="4">
        <f>+'Dia 10'!H4</f>
        <v>0</v>
      </c>
      <c r="J13" s="4">
        <f>+'Dia 10'!I4</f>
        <v>80580</v>
      </c>
      <c r="K13" s="4">
        <f>+'Dia 10'!J4</f>
        <v>158</v>
      </c>
      <c r="L13" s="16">
        <f t="shared" si="0"/>
        <v>3384.36</v>
      </c>
    </row>
    <row r="14" spans="2:12" x14ac:dyDescent="0.2">
      <c r="B14" s="1">
        <v>11</v>
      </c>
      <c r="C14" s="22"/>
      <c r="D14" s="4">
        <f>+'Dia 11'!C4</f>
        <v>0</v>
      </c>
      <c r="E14" s="4">
        <f>+'Dia 11'!D4</f>
        <v>0</v>
      </c>
      <c r="F14" s="4">
        <f>+'Dia 11'!E4</f>
        <v>0</v>
      </c>
      <c r="G14" s="4">
        <f>+'Dia 11'!F4</f>
        <v>973</v>
      </c>
      <c r="H14" s="4">
        <f>+'Dia 11'!G4</f>
        <v>0</v>
      </c>
      <c r="I14" s="4">
        <f>+'Dia 11'!H4</f>
        <v>0</v>
      </c>
      <c r="J14" s="4">
        <f>+'Dia 11'!I4</f>
        <v>496230</v>
      </c>
      <c r="K14" s="4">
        <f>+'Dia 11'!J4</f>
        <v>973</v>
      </c>
      <c r="L14" s="16">
        <f t="shared" si="0"/>
        <v>20841.66</v>
      </c>
    </row>
    <row r="15" spans="2:12" x14ac:dyDescent="0.2">
      <c r="B15" s="1">
        <v>12</v>
      </c>
      <c r="C15" s="22"/>
      <c r="D15" s="4">
        <f>+'Dia 12'!C4</f>
        <v>0</v>
      </c>
      <c r="E15" s="4">
        <f>+'Dia 12'!D4</f>
        <v>0</v>
      </c>
      <c r="F15" s="4">
        <f>+'Dia 12'!E4</f>
        <v>0</v>
      </c>
      <c r="G15" s="4">
        <f>+'Dia 12'!F4</f>
        <v>35</v>
      </c>
      <c r="H15" s="4">
        <f>+'Dia 12'!G4</f>
        <v>0</v>
      </c>
      <c r="I15" s="4">
        <f>+'Dia 12'!H4</f>
        <v>0</v>
      </c>
      <c r="J15" s="4">
        <f>+'Dia 12'!I4</f>
        <v>17850</v>
      </c>
      <c r="K15" s="4">
        <f>+'Dia 12'!J4</f>
        <v>35</v>
      </c>
      <c r="L15" s="16">
        <f t="shared" si="0"/>
        <v>749.7</v>
      </c>
    </row>
    <row r="16" spans="2:12" x14ac:dyDescent="0.2">
      <c r="B16" s="1">
        <v>13</v>
      </c>
      <c r="C16" s="22"/>
      <c r="D16" s="4">
        <f>+'Dia 13'!C4</f>
        <v>0</v>
      </c>
      <c r="E16" s="4">
        <f>+'Dia 13'!D4</f>
        <v>0</v>
      </c>
      <c r="F16" s="4">
        <f>+'Dia 13'!E4</f>
        <v>0</v>
      </c>
      <c r="G16" s="4">
        <f>+'Dia 13'!F4</f>
        <v>80</v>
      </c>
      <c r="H16" s="4">
        <f>+'Dia 13'!G4</f>
        <v>25500</v>
      </c>
      <c r="I16" s="4">
        <f>+'Dia 13'!H4</f>
        <v>0</v>
      </c>
      <c r="J16" s="4">
        <f>+'Dia 13'!I4</f>
        <v>66300</v>
      </c>
      <c r="K16" s="4">
        <f>+'Dia 13'!J4</f>
        <v>130</v>
      </c>
      <c r="L16" s="16">
        <f t="shared" si="0"/>
        <v>2784.6000000000004</v>
      </c>
    </row>
    <row r="17" spans="2:12" x14ac:dyDescent="0.2">
      <c r="B17" s="1">
        <v>14</v>
      </c>
      <c r="C17" s="22"/>
      <c r="D17" s="4">
        <f>+'Dia 14'!C4</f>
        <v>0</v>
      </c>
      <c r="E17" s="4">
        <f>+'Dia 14'!D4</f>
        <v>0</v>
      </c>
      <c r="F17" s="4">
        <f>+'Dia 14'!E4</f>
        <v>0</v>
      </c>
      <c r="G17" s="4">
        <f>+'Dia 14'!F4</f>
        <v>682</v>
      </c>
      <c r="H17" s="4">
        <f>+'Dia 14'!G4</f>
        <v>92160</v>
      </c>
      <c r="I17" s="4">
        <f>+'Dia 14'!H4</f>
        <v>0</v>
      </c>
      <c r="J17" s="4">
        <f>+'Dia 14'!I4</f>
        <v>441344</v>
      </c>
      <c r="K17" s="4">
        <f>+'Dia 14'!J4</f>
        <v>862</v>
      </c>
      <c r="L17" s="16">
        <f t="shared" si="0"/>
        <v>18536.448</v>
      </c>
    </row>
    <row r="18" spans="2:12" x14ac:dyDescent="0.2">
      <c r="B18" s="1">
        <v>15</v>
      </c>
      <c r="C18" s="22"/>
      <c r="D18" s="4">
        <f>+'Dia 15'!C4</f>
        <v>0</v>
      </c>
      <c r="E18" s="4">
        <f>+'Dia 15'!D4</f>
        <v>0</v>
      </c>
      <c r="F18" s="4">
        <f>+'Dia 15'!E4</f>
        <v>0</v>
      </c>
      <c r="G18" s="4">
        <f>+'Dia 15'!F4</f>
        <v>60</v>
      </c>
      <c r="H18" s="4">
        <f>+'Dia 15'!G4</f>
        <v>0</v>
      </c>
      <c r="I18" s="4">
        <f>+'Dia 15'!H4</f>
        <v>0</v>
      </c>
      <c r="J18" s="4">
        <f>+'Dia 15'!I4</f>
        <v>30600</v>
      </c>
      <c r="K18" s="4">
        <f>+'Dia 15'!J4</f>
        <v>60</v>
      </c>
      <c r="L18" s="16">
        <f t="shared" si="0"/>
        <v>1285.2</v>
      </c>
    </row>
    <row r="19" spans="2:12" x14ac:dyDescent="0.2">
      <c r="B19" s="1">
        <v>16</v>
      </c>
      <c r="C19" s="22"/>
      <c r="D19" s="4">
        <f>+'Dia 16'!C4</f>
        <v>7965</v>
      </c>
      <c r="E19" s="4">
        <f>+'Dia 16'!D4</f>
        <v>0</v>
      </c>
      <c r="F19" s="4">
        <f>+'Dia 16'!E4</f>
        <v>0</v>
      </c>
      <c r="G19" s="4">
        <f>+'Dia 16'!F4</f>
        <v>577</v>
      </c>
      <c r="H19" s="4">
        <f>+'Dia 16'!G4</f>
        <v>7700</v>
      </c>
      <c r="I19" s="4">
        <f>+'Dia 16'!H4</f>
        <v>10000</v>
      </c>
      <c r="J19" s="4">
        <f>+'Dia 16'!I4</f>
        <v>319935</v>
      </c>
      <c r="K19" s="4">
        <f>+'Dia 16'!J4</f>
        <v>627.32352941176475</v>
      </c>
      <c r="L19" s="16">
        <f t="shared" si="0"/>
        <v>13437.27</v>
      </c>
    </row>
    <row r="20" spans="2:12" x14ac:dyDescent="0.2">
      <c r="B20" s="1">
        <v>17</v>
      </c>
      <c r="C20" s="22"/>
      <c r="D20" s="4">
        <f>+'Dia 17'!C4</f>
        <v>0</v>
      </c>
      <c r="E20" s="4">
        <f>+'Dia 17'!D4</f>
        <v>0</v>
      </c>
      <c r="F20" s="4">
        <f>+'Dia 17'!E4</f>
        <v>0</v>
      </c>
      <c r="G20" s="4">
        <f>+'Dia 17'!F4</f>
        <v>280</v>
      </c>
      <c r="H20" s="4">
        <f>+'Dia 17'!G4</f>
        <v>0</v>
      </c>
      <c r="I20" s="4">
        <f>+'Dia 17'!H4</f>
        <v>0</v>
      </c>
      <c r="J20" s="4">
        <f>+'Dia 17'!I4</f>
        <v>143920</v>
      </c>
      <c r="K20" s="4">
        <f>+'Dia 17'!J4</f>
        <v>280</v>
      </c>
      <c r="L20" s="16">
        <f t="shared" si="0"/>
        <v>6044.64</v>
      </c>
    </row>
    <row r="21" spans="2:12" x14ac:dyDescent="0.2">
      <c r="B21" s="1">
        <v>18</v>
      </c>
      <c r="C21" s="22"/>
      <c r="D21" s="4">
        <f>+'Dia 18'!C4</f>
        <v>0</v>
      </c>
      <c r="E21" s="4">
        <f>+'Dia 18'!D4</f>
        <v>0</v>
      </c>
      <c r="F21" s="4">
        <f>+'Dia 18'!E4</f>
        <v>50</v>
      </c>
      <c r="G21" s="4">
        <f>+'Dia 18'!F4</f>
        <v>195</v>
      </c>
      <c r="H21" s="4">
        <f>+'Dia 18'!G4</f>
        <v>1050</v>
      </c>
      <c r="I21" s="4">
        <f>+'Dia 18'!H4</f>
        <v>0</v>
      </c>
      <c r="J21" s="4">
        <f>+'Dia 18'!I4</f>
        <v>126980</v>
      </c>
      <c r="K21" s="4">
        <f>+'Dia 18'!J4</f>
        <v>247.04280155642024</v>
      </c>
      <c r="L21" s="16">
        <f t="shared" si="0"/>
        <v>5333.1600000000008</v>
      </c>
    </row>
    <row r="22" spans="2:12" x14ac:dyDescent="0.2">
      <c r="B22" s="1">
        <v>19</v>
      </c>
      <c r="C22" s="22"/>
      <c r="D22" s="4">
        <f>+'Dia 19'!C4</f>
        <v>20720</v>
      </c>
      <c r="E22" s="4">
        <f>+'Dia 19'!D4</f>
        <v>0</v>
      </c>
      <c r="F22" s="4">
        <f>+'Dia 19'!E4</f>
        <v>0</v>
      </c>
      <c r="G22" s="4">
        <f>+'Dia 19'!F4</f>
        <v>55</v>
      </c>
      <c r="H22" s="4">
        <f>+'Dia 19'!G4</f>
        <v>12800</v>
      </c>
      <c r="I22" s="4">
        <f>+'Dia 19'!H4</f>
        <v>10000</v>
      </c>
      <c r="J22" s="4">
        <f>+'Dia 19'!I4</f>
        <v>71680</v>
      </c>
      <c r="K22" s="4">
        <f>+'Dia 19'!J4</f>
        <v>140</v>
      </c>
      <c r="L22" s="16">
        <f t="shared" si="0"/>
        <v>3010.5600000000004</v>
      </c>
    </row>
    <row r="23" spans="2:12" x14ac:dyDescent="0.2">
      <c r="B23" s="1">
        <v>20</v>
      </c>
      <c r="C23" s="22"/>
      <c r="D23" s="4">
        <f>+'Dia 20'!C4</f>
        <v>0</v>
      </c>
      <c r="E23" s="4">
        <f>+'Dia 20'!D4</f>
        <v>0</v>
      </c>
      <c r="F23" s="4">
        <f>+'Dia 20'!E4</f>
        <v>0</v>
      </c>
      <c r="G23" s="4">
        <f>+'Dia 20'!F4</f>
        <v>165</v>
      </c>
      <c r="H23" s="4">
        <f>+'Dia 20'!G4</f>
        <v>0</v>
      </c>
      <c r="I23" s="4">
        <f>+'Dia 20'!H4</f>
        <v>0</v>
      </c>
      <c r="J23" s="4">
        <f>+'Dia 20'!I4</f>
        <v>84480</v>
      </c>
      <c r="K23" s="4">
        <f>+'Dia 20'!J4</f>
        <v>165</v>
      </c>
      <c r="L23" s="16">
        <f t="shared" si="0"/>
        <v>3548.1600000000003</v>
      </c>
    </row>
    <row r="24" spans="2:12" x14ac:dyDescent="0.2">
      <c r="B24" s="1">
        <v>21</v>
      </c>
      <c r="C24" s="22"/>
      <c r="D24" s="4">
        <f>+'Dia 21'!C4</f>
        <v>0</v>
      </c>
      <c r="E24" s="4">
        <f>+'Dia 21'!D4</f>
        <v>0</v>
      </c>
      <c r="F24" s="4">
        <f>+'Dia 21'!E4</f>
        <v>0</v>
      </c>
      <c r="G24" s="4">
        <f>+'Dia 21'!F4</f>
        <v>170</v>
      </c>
      <c r="H24" s="4">
        <f>+'Dia 21'!G4</f>
        <v>16250</v>
      </c>
      <c r="I24" s="4">
        <f>+'Dia 21'!H4</f>
        <v>0</v>
      </c>
      <c r="J24" s="4">
        <f>+'Dia 21'!I4</f>
        <v>103800</v>
      </c>
      <c r="K24" s="4">
        <f>+'Dia 21'!J4</f>
        <v>201.55339805825244</v>
      </c>
      <c r="L24" s="16">
        <f t="shared" si="0"/>
        <v>4359.6000000000004</v>
      </c>
    </row>
    <row r="25" spans="2:12" x14ac:dyDescent="0.2">
      <c r="B25" s="1">
        <v>22</v>
      </c>
      <c r="C25" s="22"/>
      <c r="D25" s="4">
        <f>+'Dia 22'!C4</f>
        <v>0</v>
      </c>
      <c r="E25" s="4">
        <f>+'Dia 22'!D4</f>
        <v>0</v>
      </c>
      <c r="F25" s="4">
        <f>+'Dia 22'!E4</f>
        <v>0</v>
      </c>
      <c r="G25" s="4">
        <f>+'Dia 22'!F4</f>
        <v>95</v>
      </c>
      <c r="H25" s="4">
        <f>+'Dia 22'!G4</f>
        <v>0</v>
      </c>
      <c r="I25" s="4">
        <f>+'Dia 22'!H4</f>
        <v>0</v>
      </c>
      <c r="J25" s="4">
        <f>+'Dia 22'!I4</f>
        <v>48925</v>
      </c>
      <c r="K25" s="4">
        <f>+'Dia 22'!J4</f>
        <v>95</v>
      </c>
      <c r="L25" s="16">
        <f t="shared" si="0"/>
        <v>2054.85</v>
      </c>
    </row>
    <row r="26" spans="2:12" x14ac:dyDescent="0.2">
      <c r="B26" s="1">
        <v>23</v>
      </c>
      <c r="C26" s="22"/>
      <c r="D26" s="4">
        <f>+'Dia 23'!C4</f>
        <v>0</v>
      </c>
      <c r="E26" s="4">
        <f>+'Dia 23'!D4</f>
        <v>0</v>
      </c>
      <c r="F26" s="4">
        <f>+'Dia 23'!E4</f>
        <v>0</v>
      </c>
      <c r="G26" s="4">
        <f>+'Dia 23'!F4</f>
        <v>0</v>
      </c>
      <c r="H26" s="4">
        <f>+'Dia 23'!G4</f>
        <v>18050</v>
      </c>
      <c r="I26" s="4">
        <f>+'Dia 23'!H4</f>
        <v>0</v>
      </c>
      <c r="J26" s="4">
        <f>+'Dia 23'!I4</f>
        <v>18050</v>
      </c>
      <c r="K26" s="4">
        <f>+'Dia 23'!J4</f>
        <v>35.04854368932039</v>
      </c>
      <c r="L26" s="16">
        <f t="shared" si="0"/>
        <v>758.1</v>
      </c>
    </row>
    <row r="27" spans="2:12" x14ac:dyDescent="0.2">
      <c r="B27" s="1">
        <v>24</v>
      </c>
      <c r="C27" s="3"/>
      <c r="D27" s="4">
        <f>+'Dia 24'!C4</f>
        <v>0</v>
      </c>
      <c r="E27" s="4">
        <f>+'Dia 24'!D4</f>
        <v>0</v>
      </c>
      <c r="F27" s="4">
        <f>+'Dia 24'!E4</f>
        <v>0</v>
      </c>
      <c r="G27" s="4">
        <f>+'Dia 24'!F4</f>
        <v>457</v>
      </c>
      <c r="H27" s="4">
        <f>+'Dia 24'!G4</f>
        <v>0</v>
      </c>
      <c r="I27" s="4">
        <f>+'Dia 24'!H4</f>
        <v>0</v>
      </c>
      <c r="J27" s="4">
        <f>+'Dia 24'!I4</f>
        <v>235355</v>
      </c>
      <c r="K27" s="4">
        <f>+'Dia 24'!J4</f>
        <v>457</v>
      </c>
      <c r="L27" s="16">
        <f t="shared" si="0"/>
        <v>9884.91</v>
      </c>
    </row>
    <row r="28" spans="2:12" x14ac:dyDescent="0.2">
      <c r="B28" s="1">
        <v>25</v>
      </c>
      <c r="C28" s="3"/>
      <c r="D28" s="4">
        <f>+'Dia 25'!C4</f>
        <v>0</v>
      </c>
      <c r="E28" s="4">
        <f>+'Dia 25'!D4</f>
        <v>0</v>
      </c>
      <c r="F28" s="4">
        <f>+'Dia 25'!E4</f>
        <v>0</v>
      </c>
      <c r="G28" s="4">
        <f>+'Dia 25'!F4</f>
        <v>85</v>
      </c>
      <c r="H28" s="4">
        <f>+'Dia 25'!G4</f>
        <v>0</v>
      </c>
      <c r="I28" s="4">
        <f>+'Dia 25'!H4</f>
        <v>0</v>
      </c>
      <c r="J28" s="4">
        <f>+'Dia 25'!I4</f>
        <v>43775</v>
      </c>
      <c r="K28" s="4">
        <f>+'Dia 25'!J4</f>
        <v>85</v>
      </c>
      <c r="L28" s="16">
        <f t="shared" si="0"/>
        <v>1838.5500000000002</v>
      </c>
    </row>
    <row r="29" spans="2:12" x14ac:dyDescent="0.2">
      <c r="B29" s="1">
        <v>26</v>
      </c>
      <c r="C29" s="3"/>
      <c r="D29" s="4">
        <f>+'Dia 26'!C4</f>
        <v>0</v>
      </c>
      <c r="E29" s="4">
        <f>+'Dia 26'!D4</f>
        <v>0</v>
      </c>
      <c r="F29" s="4">
        <f>+'Dia 26'!E4</f>
        <v>0</v>
      </c>
      <c r="G29" s="4">
        <f>+'Dia 26'!F4</f>
        <v>141</v>
      </c>
      <c r="H29" s="4">
        <f>+'Dia 26'!G4</f>
        <v>37600</v>
      </c>
      <c r="I29" s="4">
        <f>+'Dia 26'!H4</f>
        <v>0</v>
      </c>
      <c r="J29" s="4">
        <f>+'Dia 26'!I4</f>
        <v>110215</v>
      </c>
      <c r="K29" s="4">
        <f>+'Dia 26'!J4</f>
        <v>214.00970873786409</v>
      </c>
      <c r="L29" s="16">
        <f t="shared" si="0"/>
        <v>4629.0300000000007</v>
      </c>
    </row>
    <row r="30" spans="2:12" x14ac:dyDescent="0.2">
      <c r="B30" s="1">
        <v>27</v>
      </c>
      <c r="C30" s="3"/>
      <c r="D30" s="4">
        <f>+'Dia 27'!C4</f>
        <v>0</v>
      </c>
      <c r="E30" s="4">
        <f>+'Dia 27'!D4</f>
        <v>0</v>
      </c>
      <c r="F30" s="4">
        <f>+'Dia 27'!E4</f>
        <v>0</v>
      </c>
      <c r="G30" s="4">
        <f>+'Dia 27'!F4</f>
        <v>30</v>
      </c>
      <c r="H30" s="4">
        <f>+'Dia 27'!G4</f>
        <v>0</v>
      </c>
      <c r="I30" s="4">
        <f>+'Dia 27'!H4</f>
        <v>0</v>
      </c>
      <c r="J30" s="4">
        <f>+'Dia 27'!I4</f>
        <v>15450</v>
      </c>
      <c r="K30" s="4">
        <f>+'Dia 27'!J4</f>
        <v>30</v>
      </c>
      <c r="L30" s="16">
        <f t="shared" si="0"/>
        <v>648.90000000000009</v>
      </c>
    </row>
    <row r="31" spans="2:12" x14ac:dyDescent="0.2">
      <c r="B31" s="1">
        <v>28</v>
      </c>
      <c r="C31" s="3"/>
      <c r="D31" s="4">
        <f>+'Dia 28'!C4</f>
        <v>0</v>
      </c>
      <c r="E31" s="4">
        <f>+'Dia 28'!D4</f>
        <v>0</v>
      </c>
      <c r="F31" s="4">
        <f>+'Dia 28'!E4</f>
        <v>0</v>
      </c>
      <c r="G31" s="4">
        <f>+'Dia 28'!F4</f>
        <v>85</v>
      </c>
      <c r="H31" s="4">
        <f>+'Dia 28'!G4</f>
        <v>0</v>
      </c>
      <c r="I31" s="4">
        <f>+'Dia 28'!H4</f>
        <v>0</v>
      </c>
      <c r="J31" s="4">
        <f>+'Dia 28'!I4</f>
        <v>43775</v>
      </c>
      <c r="K31" s="4">
        <f>+'Dia 28'!J4</f>
        <v>85</v>
      </c>
      <c r="L31" s="16">
        <f t="shared" si="0"/>
        <v>1838.5500000000002</v>
      </c>
    </row>
    <row r="32" spans="2:12" x14ac:dyDescent="0.2">
      <c r="B32" s="1">
        <v>29</v>
      </c>
      <c r="C32" s="3"/>
      <c r="D32" s="4">
        <f>+'Dia 29'!C4</f>
        <v>0</v>
      </c>
      <c r="E32" s="4">
        <f>+'Dia 29'!D4</f>
        <v>0</v>
      </c>
      <c r="F32" s="4">
        <f>+'Dia 29'!E4</f>
        <v>0</v>
      </c>
      <c r="G32" s="4">
        <f>+'Dia 29'!F4</f>
        <v>127.17</v>
      </c>
      <c r="H32" s="4">
        <f>+'Dia 29'!G4</f>
        <v>28500</v>
      </c>
      <c r="I32" s="4">
        <f>+'Dia 29'!H4</f>
        <v>0</v>
      </c>
      <c r="J32" s="4">
        <f>+'Dia 29'!I4</f>
        <v>93992.55</v>
      </c>
      <c r="K32" s="4">
        <f>+'Dia 29'!J4</f>
        <v>182.50980582524272</v>
      </c>
      <c r="L32" s="16">
        <f t="shared" si="0"/>
        <v>3947.6871000000006</v>
      </c>
    </row>
    <row r="33" spans="2:13" x14ac:dyDescent="0.2">
      <c r="B33" s="1">
        <v>30</v>
      </c>
      <c r="C33" s="3"/>
      <c r="D33" s="4">
        <f>+'Dia 30'!C4</f>
        <v>0</v>
      </c>
      <c r="E33" s="4">
        <f>+'Dia 30'!D4</f>
        <v>0</v>
      </c>
      <c r="F33" s="4">
        <f>+'Dia 30'!E4</f>
        <v>0</v>
      </c>
      <c r="G33" s="4">
        <f>+'Dia 30'!F4</f>
        <v>100</v>
      </c>
      <c r="H33" s="4">
        <f>+'Dia 30'!G4</f>
        <v>0</v>
      </c>
      <c r="I33" s="4">
        <f>+'Dia 30'!H4</f>
        <v>0</v>
      </c>
      <c r="J33" s="4">
        <f>+'Dia 30'!I4</f>
        <v>51500</v>
      </c>
      <c r="K33" s="4">
        <f>+'Dia 30'!J4</f>
        <v>100</v>
      </c>
      <c r="L33" s="16">
        <f t="shared" si="0"/>
        <v>2163</v>
      </c>
    </row>
    <row r="34" spans="2:13" x14ac:dyDescent="0.2">
      <c r="B34" s="1">
        <v>31</v>
      </c>
      <c r="C34" s="3"/>
      <c r="D34" s="4">
        <f>+'Dia 31'!C4</f>
        <v>0</v>
      </c>
      <c r="E34" s="4">
        <f>+'Dia 31'!D4</f>
        <v>0</v>
      </c>
      <c r="F34" s="4">
        <f>+'Dia 31'!E4</f>
        <v>0</v>
      </c>
      <c r="G34" s="4">
        <f>+'Dia 31'!F4</f>
        <v>465</v>
      </c>
      <c r="H34" s="4">
        <f>+'Dia 31'!G4</f>
        <v>22148</v>
      </c>
      <c r="I34" s="4">
        <f>+'Dia 31'!H4</f>
        <v>0</v>
      </c>
      <c r="J34" s="4">
        <f>+'Dia 31'!I4</f>
        <v>261623</v>
      </c>
      <c r="K34" s="4">
        <f>+'Dia 31'!J4</f>
        <v>508.00582524271846</v>
      </c>
      <c r="L34" s="16">
        <f t="shared" si="0"/>
        <v>10988.166000000001</v>
      </c>
    </row>
    <row r="35" spans="2:13" x14ac:dyDescent="0.2">
      <c r="B35" s="1" t="s">
        <v>16</v>
      </c>
      <c r="C35" s="1"/>
      <c r="D35" s="2">
        <f>+SUM(D4:D34)</f>
        <v>193815</v>
      </c>
      <c r="E35" s="2">
        <f t="shared" ref="E35:K35" si="1">+SUM(E4:E34)</f>
        <v>74</v>
      </c>
      <c r="F35" s="2">
        <f t="shared" si="1"/>
        <v>50</v>
      </c>
      <c r="G35" s="2">
        <f t="shared" si="1"/>
        <v>6618.17</v>
      </c>
      <c r="H35" s="2">
        <f t="shared" si="1"/>
        <v>422208</v>
      </c>
      <c r="I35" s="2">
        <f t="shared" si="1"/>
        <v>92100</v>
      </c>
      <c r="J35" s="2">
        <f>+SUM(J4:J34)</f>
        <v>4159309.55</v>
      </c>
      <c r="K35" s="2">
        <f t="shared" si="1"/>
        <v>8127.2583184039368</v>
      </c>
      <c r="M35" s="28">
        <f>19700*435</f>
        <v>8569500</v>
      </c>
    </row>
    <row r="37" spans="2:13" x14ac:dyDescent="0.2">
      <c r="C37" s="5" t="s">
        <v>49</v>
      </c>
      <c r="D37" s="4">
        <f>+D35/31</f>
        <v>6252.0967741935483</v>
      </c>
      <c r="E37" s="4">
        <f t="shared" ref="E37:K37" si="2">+E35/31</f>
        <v>2.3870967741935485</v>
      </c>
      <c r="F37" s="4">
        <f t="shared" si="2"/>
        <v>1.6129032258064515</v>
      </c>
      <c r="G37" s="4">
        <f t="shared" si="2"/>
        <v>213.48935483870969</v>
      </c>
      <c r="H37" s="4">
        <f t="shared" si="2"/>
        <v>13619.612903225807</v>
      </c>
      <c r="I37" s="4">
        <f t="shared" si="2"/>
        <v>2970.9677419354839</v>
      </c>
      <c r="J37" s="4">
        <f t="shared" si="2"/>
        <v>134171.27580645159</v>
      </c>
      <c r="K37" s="4">
        <f t="shared" si="2"/>
        <v>262.16962317432052</v>
      </c>
      <c r="M37" s="27"/>
    </row>
    <row r="38" spans="2:13" x14ac:dyDescent="0.2">
      <c r="D38" s="10" t="s">
        <v>21</v>
      </c>
      <c r="E38" s="10" t="s">
        <v>22</v>
      </c>
      <c r="F38" s="10" t="s">
        <v>13</v>
      </c>
      <c r="G38" s="10" t="s">
        <v>14</v>
      </c>
      <c r="H38" s="10" t="s">
        <v>15</v>
      </c>
      <c r="I38" s="18" t="s">
        <v>20</v>
      </c>
      <c r="J38" s="10" t="s">
        <v>16</v>
      </c>
      <c r="K38" s="10" t="s">
        <v>89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H17"/>
  <sheetViews>
    <sheetView zoomScale="59" zoomScaleNormal="55" workbookViewId="0">
      <selection activeCell="AA18" sqref="AA18"/>
    </sheetView>
  </sheetViews>
  <sheetFormatPr baseColWidth="10" defaultColWidth="11.33203125" defaultRowHeight="15" x14ac:dyDescent="0.2"/>
  <cols>
    <col min="2" max="2" width="14.6640625" customWidth="1"/>
    <col min="34" max="34" width="19.6640625" customWidth="1"/>
  </cols>
  <sheetData>
    <row r="5" spans="1:34" x14ac:dyDescent="0.2"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59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64</v>
      </c>
      <c r="Q5" s="1" t="s">
        <v>65</v>
      </c>
      <c r="R5" s="1" t="s">
        <v>66</v>
      </c>
      <c r="S5" s="1" t="s">
        <v>67</v>
      </c>
      <c r="T5" s="1" t="s">
        <v>68</v>
      </c>
      <c r="U5" s="1" t="s">
        <v>69</v>
      </c>
      <c r="V5" s="1" t="s">
        <v>70</v>
      </c>
      <c r="W5" s="1" t="s">
        <v>71</v>
      </c>
      <c r="X5" s="1" t="s">
        <v>72</v>
      </c>
      <c r="Y5" s="1" t="s">
        <v>73</v>
      </c>
      <c r="Z5" s="1" t="s">
        <v>74</v>
      </c>
      <c r="AA5" s="1" t="s">
        <v>75</v>
      </c>
      <c r="AB5" s="1" t="s">
        <v>76</v>
      </c>
      <c r="AC5" s="1" t="s">
        <v>77</v>
      </c>
      <c r="AD5" s="1" t="s">
        <v>78</v>
      </c>
      <c r="AE5" s="1" t="s">
        <v>79</v>
      </c>
      <c r="AF5" s="1" t="s">
        <v>80</v>
      </c>
      <c r="AG5" s="1" t="s">
        <v>81</v>
      </c>
      <c r="AH5" s="1" t="s">
        <v>82</v>
      </c>
    </row>
    <row r="6" spans="1:34" x14ac:dyDescent="0.2">
      <c r="A6" s="3"/>
      <c r="B6" s="3" t="s">
        <v>90</v>
      </c>
      <c r="C6" s="24">
        <f>+'Dia 1'!C34</f>
        <v>0</v>
      </c>
      <c r="D6" s="24">
        <f>+'Dia 2'!C34</f>
        <v>0</v>
      </c>
      <c r="E6" s="24">
        <f>+'Dia 3'!C34</f>
        <v>0</v>
      </c>
      <c r="F6" s="24">
        <f>+'Dia 4'!C34</f>
        <v>2000</v>
      </c>
      <c r="G6" s="24">
        <f>+'Dia 5'!C34</f>
        <v>2000</v>
      </c>
      <c r="H6" s="24">
        <f>+'Dia 6'!C34</f>
        <v>2000</v>
      </c>
      <c r="I6" s="24">
        <f>+'Dia 7'!C34</f>
        <v>0</v>
      </c>
      <c r="J6" s="24">
        <f>+'Dia 8'!C34</f>
        <v>0</v>
      </c>
      <c r="K6" s="24">
        <f>+'Dia 9'!C34</f>
        <v>0</v>
      </c>
      <c r="L6" s="24">
        <f>+'Dia 10'!C34</f>
        <v>2000</v>
      </c>
      <c r="M6" s="24">
        <f>+'Dia 11'!C34</f>
        <v>2000</v>
      </c>
      <c r="N6" s="24">
        <f>+'Dia 12'!C34</f>
        <v>2000</v>
      </c>
      <c r="O6" s="24">
        <f>+'Dia 13'!C34</f>
        <v>0</v>
      </c>
      <c r="P6" s="24">
        <f>+'Dia 14'!C34</f>
        <v>0</v>
      </c>
      <c r="Q6" s="24">
        <f>+'Dia 15'!C34</f>
        <v>0</v>
      </c>
      <c r="R6" s="24">
        <f>+'Dia 16'!C34</f>
        <v>2000</v>
      </c>
      <c r="S6" s="24">
        <f>+'Dia 17'!C34</f>
        <v>2000</v>
      </c>
      <c r="T6" s="24">
        <f>+'Dia 18'!C34</f>
        <v>2000</v>
      </c>
      <c r="U6" s="24">
        <f>+'Dia 19'!C34</f>
        <v>0</v>
      </c>
      <c r="V6" s="24">
        <f>+'Dia 20'!C34</f>
        <v>0</v>
      </c>
      <c r="W6" s="24">
        <f>+'Dia 21'!C34</f>
        <v>0</v>
      </c>
      <c r="X6" s="24">
        <f>+'Dia 22'!C34</f>
        <v>2000</v>
      </c>
      <c r="Y6" s="24">
        <f>+'Dia 23'!C34</f>
        <v>2000</v>
      </c>
      <c r="Z6" s="24">
        <f>+'Dia 24'!C34</f>
        <v>2000</v>
      </c>
      <c r="AA6" s="24">
        <f>+'Dia 25'!C34</f>
        <v>2000</v>
      </c>
      <c r="AB6" s="24">
        <f>+'Dia 26'!C34</f>
        <v>0</v>
      </c>
      <c r="AC6" s="24">
        <f>+'Dia 27'!C34</f>
        <v>0</v>
      </c>
      <c r="AD6" s="24">
        <f>+'Dia 28'!C34</f>
        <v>2000</v>
      </c>
      <c r="AE6" s="24">
        <f>+'Dia 29'!C34</f>
        <v>2000</v>
      </c>
      <c r="AF6" s="24">
        <f>+'Dia 30'!C34</f>
        <v>2000</v>
      </c>
      <c r="AG6" s="24">
        <f>+'Dia 31'!C34</f>
        <v>0</v>
      </c>
      <c r="AH6" s="24">
        <f>SUM(C6:AG6)</f>
        <v>32000</v>
      </c>
    </row>
    <row r="7" spans="1:34" x14ac:dyDescent="0.2">
      <c r="A7" s="3"/>
      <c r="B7" s="3" t="s">
        <v>91</v>
      </c>
      <c r="C7" s="24">
        <f>+'Dia 1'!C35</f>
        <v>2000</v>
      </c>
      <c r="D7" s="24">
        <f>+'Dia 2'!C35</f>
        <v>0</v>
      </c>
      <c r="E7" s="24">
        <f>+'Dia 3'!C35</f>
        <v>0</v>
      </c>
      <c r="F7" s="24">
        <f>+'Dia 4'!C35</f>
        <v>0</v>
      </c>
      <c r="G7" s="24">
        <f>+'Dia 5'!C35</f>
        <v>0</v>
      </c>
      <c r="H7" s="24">
        <f>+'Dia 6'!C35</f>
        <v>0</v>
      </c>
      <c r="I7" s="24">
        <f>+'Dia 7'!C35</f>
        <v>2000</v>
      </c>
      <c r="J7" s="24">
        <f>+'Dia 8'!C35</f>
        <v>0</v>
      </c>
      <c r="K7" s="24">
        <f>+'Dia 9'!C35</f>
        <v>2000</v>
      </c>
      <c r="L7" s="24">
        <f>+'Dia 10'!C35</f>
        <v>0</v>
      </c>
      <c r="M7" s="24">
        <f>+'Dia 11'!C35</f>
        <v>0</v>
      </c>
      <c r="N7" s="24">
        <f>+'Dia 12'!C35</f>
        <v>0</v>
      </c>
      <c r="O7" s="24">
        <f>+'Dia 13'!C35</f>
        <v>2000</v>
      </c>
      <c r="P7" s="24">
        <f>+'Dia 14'!C35</f>
        <v>2000</v>
      </c>
      <c r="Q7" s="24">
        <f>+'Dia 15'!C35</f>
        <v>2000</v>
      </c>
      <c r="R7" s="24">
        <f>+'Dia 16'!C35</f>
        <v>0</v>
      </c>
      <c r="S7" s="24">
        <f>+'Dia 17'!C35</f>
        <v>0</v>
      </c>
      <c r="T7" s="24">
        <f>+'Dia 18'!C35</f>
        <v>0</v>
      </c>
      <c r="U7" s="24">
        <f>+'Dia 19'!C35</f>
        <v>2000</v>
      </c>
      <c r="V7" s="24">
        <f>+'Dia 20'!C35</f>
        <v>2000</v>
      </c>
      <c r="W7" s="24">
        <f>+'Dia 21'!C35</f>
        <v>2000</v>
      </c>
      <c r="X7" s="24">
        <f>+'Dia 22'!C35</f>
        <v>0</v>
      </c>
      <c r="Y7" s="24">
        <f>+'Dia 23'!C35</f>
        <v>0</v>
      </c>
      <c r="Z7" s="24">
        <f>+'Dia 24'!C35</f>
        <v>0</v>
      </c>
      <c r="AA7" s="24">
        <f>+'Dia 25'!C35</f>
        <v>0</v>
      </c>
      <c r="AB7" s="24">
        <f>+'Dia 26'!C35</f>
        <v>2000</v>
      </c>
      <c r="AC7" s="24">
        <f>+'Dia 27'!C35</f>
        <v>2000</v>
      </c>
      <c r="AD7" s="24">
        <f>+'Dia 28'!C35</f>
        <v>0</v>
      </c>
      <c r="AE7" s="24">
        <f>+'Dia 29'!C35</f>
        <v>0</v>
      </c>
      <c r="AF7" s="24">
        <f>+'Dia 30'!C35</f>
        <v>0</v>
      </c>
      <c r="AG7" s="24">
        <f>+'Dia 31'!C35</f>
        <v>2000</v>
      </c>
      <c r="AH7" s="24">
        <f t="shared" ref="AH7:AH14" si="0">SUM(C7:AG7)</f>
        <v>24000</v>
      </c>
    </row>
    <row r="8" spans="1:34" x14ac:dyDescent="0.2">
      <c r="A8" s="3"/>
      <c r="B8" s="3" t="s">
        <v>92</v>
      </c>
      <c r="C8" s="24">
        <f>+'Dia 1'!C36</f>
        <v>0</v>
      </c>
      <c r="D8" s="24">
        <f>+'Dia 2'!C36</f>
        <v>0</v>
      </c>
      <c r="E8" s="24">
        <f>+'Dia 3'!C36</f>
        <v>0</v>
      </c>
      <c r="F8" s="24">
        <f>+'Dia 4'!C36</f>
        <v>0</v>
      </c>
      <c r="G8" s="24">
        <f>+'Dia 5'!C36</f>
        <v>0</v>
      </c>
      <c r="H8" s="24">
        <f>+'Dia 6'!C36</f>
        <v>0</v>
      </c>
      <c r="I8" s="24">
        <f>+'Dia 7'!C36</f>
        <v>0</v>
      </c>
      <c r="J8" s="24">
        <f>+'Dia 8'!C36</f>
        <v>0</v>
      </c>
      <c r="K8" s="24">
        <f>+'Dia 9'!C36</f>
        <v>0</v>
      </c>
      <c r="L8" s="24">
        <f>+'Dia 10'!C36</f>
        <v>0</v>
      </c>
      <c r="M8" s="24">
        <f>+'Dia 11'!C36</f>
        <v>0</v>
      </c>
      <c r="N8" s="24">
        <f>+'Dia 12'!C36</f>
        <v>0</v>
      </c>
      <c r="O8" s="24">
        <f>+'Dia 13'!C36</f>
        <v>0</v>
      </c>
      <c r="P8" s="24">
        <f>+'Dia 14'!C36</f>
        <v>0</v>
      </c>
      <c r="Q8" s="24">
        <f>+'Dia 15'!C36</f>
        <v>0</v>
      </c>
      <c r="R8" s="24">
        <f>+'Dia 16'!C36</f>
        <v>0</v>
      </c>
      <c r="S8" s="24">
        <f>+'Dia 17'!C36</f>
        <v>0</v>
      </c>
      <c r="T8" s="24">
        <f>+'Dia 18'!C36</f>
        <v>0</v>
      </c>
      <c r="U8" s="24">
        <f>+'Dia 19'!C36</f>
        <v>0</v>
      </c>
      <c r="V8" s="24">
        <f>+'Dia 20'!C36</f>
        <v>0</v>
      </c>
      <c r="W8" s="24">
        <f>+'Dia 21'!C36</f>
        <v>0</v>
      </c>
      <c r="X8" s="24">
        <f>+'Dia 22'!C36</f>
        <v>0</v>
      </c>
      <c r="Y8" s="24">
        <f>+'Dia 23'!C36</f>
        <v>0</v>
      </c>
      <c r="Z8" s="24">
        <f>+'Dia 24'!C36</f>
        <v>0</v>
      </c>
      <c r="AA8" s="24">
        <f>+'Dia 25'!C36</f>
        <v>0</v>
      </c>
      <c r="AB8" s="24">
        <f>+'Dia 26'!C36</f>
        <v>0</v>
      </c>
      <c r="AC8" s="24">
        <f>+'Dia 27'!C36</f>
        <v>0</v>
      </c>
      <c r="AD8" s="24">
        <f>+'Dia 28'!C36</f>
        <v>0</v>
      </c>
      <c r="AE8" s="24">
        <f>+'Dia 29'!C36</f>
        <v>0</v>
      </c>
      <c r="AF8" s="24">
        <f>+'Dia 30'!C36</f>
        <v>0</v>
      </c>
      <c r="AG8" s="24">
        <f>+'Dia 31'!C36</f>
        <v>0</v>
      </c>
      <c r="AH8" s="24">
        <f t="shared" si="0"/>
        <v>0</v>
      </c>
    </row>
    <row r="9" spans="1:34" x14ac:dyDescent="0.2">
      <c r="A9" s="3"/>
      <c r="B9" s="3" t="s">
        <v>97</v>
      </c>
      <c r="C9" s="24">
        <f>+'Dia 1'!C37</f>
        <v>2000</v>
      </c>
      <c r="D9" s="24">
        <f>+'Dia 2'!C37</f>
        <v>2000</v>
      </c>
      <c r="E9" s="24">
        <f>+'Dia 3'!C37</f>
        <v>2000</v>
      </c>
      <c r="F9" s="24">
        <f>+'Dia 4'!C37</f>
        <v>2000</v>
      </c>
      <c r="G9" s="24">
        <f>+'Dia 5'!C37</f>
        <v>0</v>
      </c>
      <c r="H9" s="24">
        <f>+'Dia 6'!C37</f>
        <v>0</v>
      </c>
      <c r="I9" s="24">
        <f>+'Dia 7'!C37</f>
        <v>2000</v>
      </c>
      <c r="J9" s="24">
        <f>+'Dia 8'!C37</f>
        <v>2000</v>
      </c>
      <c r="K9" s="24">
        <f>+'Dia 9'!C37</f>
        <v>2000</v>
      </c>
      <c r="L9" s="24">
        <f>+'Dia 10'!C37</f>
        <v>0</v>
      </c>
      <c r="M9" s="24">
        <f>+'Dia 11'!C37</f>
        <v>0</v>
      </c>
      <c r="N9" s="24">
        <f>+'Dia 12'!C37</f>
        <v>0</v>
      </c>
      <c r="O9" s="24">
        <f>+'Dia 13'!C37</f>
        <v>2000</v>
      </c>
      <c r="P9" s="24">
        <f>+'Dia 14'!C37</f>
        <v>2000</v>
      </c>
      <c r="Q9" s="24">
        <f>+'Dia 15'!C37</f>
        <v>0</v>
      </c>
      <c r="R9" s="24">
        <f>+'Dia 16'!C37</f>
        <v>2000</v>
      </c>
      <c r="S9" s="24">
        <f>+'Dia 17'!C37</f>
        <v>0</v>
      </c>
      <c r="T9" s="24">
        <f>+'Dia 18'!C37</f>
        <v>0</v>
      </c>
      <c r="U9" s="24">
        <f>+'Dia 19'!C37</f>
        <v>2000</v>
      </c>
      <c r="V9" s="24">
        <f>+'Dia 20'!C37</f>
        <v>2000</v>
      </c>
      <c r="W9" s="24">
        <f>+'Dia 21'!C37</f>
        <v>2000</v>
      </c>
      <c r="X9" s="24">
        <f>+'Dia 22'!C37</f>
        <v>0</v>
      </c>
      <c r="Y9" s="24">
        <f>+'Dia 23'!C37</f>
        <v>0</v>
      </c>
      <c r="Z9" s="24">
        <f>+'Dia 24'!C37</f>
        <v>0</v>
      </c>
      <c r="AA9" s="24">
        <f>+'Dia 25'!C37</f>
        <v>0</v>
      </c>
      <c r="AB9" s="24">
        <f>+'Dia 26'!C37</f>
        <v>2000</v>
      </c>
      <c r="AC9" s="24">
        <f>+'Dia 27'!C37</f>
        <v>2000</v>
      </c>
      <c r="AD9" s="24">
        <f>+'Dia 28'!C37</f>
        <v>0</v>
      </c>
      <c r="AE9" s="24">
        <f>+'Dia 29'!C37</f>
        <v>0</v>
      </c>
      <c r="AF9" s="24">
        <f>+'Dia 30'!C37</f>
        <v>0</v>
      </c>
      <c r="AG9" s="24">
        <f>+'Dia 31'!C37</f>
        <v>0</v>
      </c>
      <c r="AH9" s="24">
        <f t="shared" si="0"/>
        <v>30000</v>
      </c>
    </row>
    <row r="10" spans="1:34" x14ac:dyDescent="0.2">
      <c r="A10" s="3"/>
      <c r="B10" s="3" t="s">
        <v>93</v>
      </c>
      <c r="C10" s="24">
        <f>+'Dia 1'!C38</f>
        <v>0</v>
      </c>
      <c r="D10" s="24">
        <f>+'Dia 2'!C38</f>
        <v>2000</v>
      </c>
      <c r="E10" s="24">
        <f>+'Dia 3'!C38</f>
        <v>2000</v>
      </c>
      <c r="F10" s="24">
        <f>+'Dia 4'!C38</f>
        <v>0</v>
      </c>
      <c r="G10" s="24">
        <f>+'Dia 5'!C38</f>
        <v>2000</v>
      </c>
      <c r="H10" s="24">
        <f>+'Dia 6'!C38</f>
        <v>2000</v>
      </c>
      <c r="I10" s="24">
        <f>+'Dia 7'!C38</f>
        <v>0</v>
      </c>
      <c r="J10" s="24">
        <f>+'Dia 8'!C38</f>
        <v>2000</v>
      </c>
      <c r="K10" s="24">
        <f>+'Dia 9'!C38</f>
        <v>0</v>
      </c>
      <c r="L10" s="24">
        <f>+'Dia 10'!C38</f>
        <v>2000</v>
      </c>
      <c r="M10" s="24">
        <f>+'Dia 11'!C38</f>
        <v>2000</v>
      </c>
      <c r="N10" s="24">
        <f>+'Dia 12'!C38</f>
        <v>2000</v>
      </c>
      <c r="O10" s="24">
        <f>+'Dia 13'!C38</f>
        <v>0</v>
      </c>
      <c r="P10" s="24">
        <f>+'Dia 14'!C38</f>
        <v>0</v>
      </c>
      <c r="Q10" s="24">
        <f>+'Dia 15'!C38</f>
        <v>2000</v>
      </c>
      <c r="R10" s="24">
        <f>+'Dia 16'!C38</f>
        <v>0</v>
      </c>
      <c r="S10" s="24">
        <f>+'Dia 17'!C38</f>
        <v>2000</v>
      </c>
      <c r="T10" s="24">
        <f>+'Dia 18'!C38</f>
        <v>2000</v>
      </c>
      <c r="U10" s="24">
        <f>+'Dia 19'!C38</f>
        <v>0</v>
      </c>
      <c r="V10" s="24">
        <f>+'Dia 20'!C38</f>
        <v>0</v>
      </c>
      <c r="W10" s="24">
        <f>+'Dia 21'!C38</f>
        <v>0</v>
      </c>
      <c r="X10" s="24">
        <f>+'Dia 22'!C38</f>
        <v>2000</v>
      </c>
      <c r="Y10" s="24">
        <f>+'Dia 23'!C38</f>
        <v>2000</v>
      </c>
      <c r="Z10" s="24">
        <f>+'Dia 24'!C38</f>
        <v>2000</v>
      </c>
      <c r="AA10" s="24">
        <f>+'Dia 25'!C38</f>
        <v>2000</v>
      </c>
      <c r="AB10" s="24">
        <f>+'Dia 26'!C38</f>
        <v>0</v>
      </c>
      <c r="AC10" s="24">
        <f>+'Dia 27'!C38</f>
        <v>0</v>
      </c>
      <c r="AD10" s="24">
        <f>+'Dia 28'!C38</f>
        <v>2000</v>
      </c>
      <c r="AE10" s="24">
        <f>+'Dia 29'!C38</f>
        <v>2000</v>
      </c>
      <c r="AF10" s="24">
        <f>+'Dia 30'!C38</f>
        <v>2000</v>
      </c>
      <c r="AG10" s="24">
        <f>+'Dia 31'!C38</f>
        <v>2000</v>
      </c>
      <c r="AH10" s="24">
        <f t="shared" si="0"/>
        <v>38000</v>
      </c>
    </row>
    <row r="11" spans="1:34" x14ac:dyDescent="0.2">
      <c r="A11" s="3"/>
      <c r="B11" s="3" t="s">
        <v>94</v>
      </c>
      <c r="C11" s="24">
        <f>+'Dia 1'!C39</f>
        <v>0</v>
      </c>
      <c r="D11" s="24">
        <f>+'Dia 2'!C39</f>
        <v>0</v>
      </c>
      <c r="E11" s="24">
        <f>+'Dia 3'!C39</f>
        <v>0</v>
      </c>
      <c r="F11" s="24">
        <f>+'Dia 4'!C39</f>
        <v>0</v>
      </c>
      <c r="G11" s="24">
        <f>+'Dia 5'!C39</f>
        <v>0</v>
      </c>
      <c r="H11" s="24">
        <f>+'Dia 6'!C39</f>
        <v>0</v>
      </c>
      <c r="I11" s="24">
        <f>+'Dia 7'!C39</f>
        <v>0</v>
      </c>
      <c r="J11" s="24">
        <f>+'Dia 8'!C39</f>
        <v>0</v>
      </c>
      <c r="K11" s="24">
        <f>+'Dia 9'!C39</f>
        <v>0</v>
      </c>
      <c r="L11" s="24">
        <f>+'Dia 10'!C39</f>
        <v>0</v>
      </c>
      <c r="M11" s="24">
        <f>+'Dia 11'!C39</f>
        <v>0</v>
      </c>
      <c r="N11" s="24">
        <f>+'Dia 12'!C39</f>
        <v>0</v>
      </c>
      <c r="O11" s="24">
        <f>+'Dia 13'!C39</f>
        <v>0</v>
      </c>
      <c r="P11" s="24">
        <f>+'Dia 14'!C39</f>
        <v>0</v>
      </c>
      <c r="Q11" s="24">
        <f>+'Dia 15'!C39</f>
        <v>0</v>
      </c>
      <c r="R11" s="24">
        <f>+'Dia 16'!C39</f>
        <v>0</v>
      </c>
      <c r="S11" s="24">
        <f>+'Dia 17'!C39</f>
        <v>0</v>
      </c>
      <c r="T11" s="24">
        <f>+'Dia 18'!C39</f>
        <v>0</v>
      </c>
      <c r="U11" s="24">
        <f>+'Dia 19'!C39</f>
        <v>0</v>
      </c>
      <c r="V11" s="24">
        <f>+'Dia 20'!C39</f>
        <v>0</v>
      </c>
      <c r="W11" s="24">
        <f>+'Dia 21'!C39</f>
        <v>0</v>
      </c>
      <c r="X11" s="24">
        <f>+'Dia 22'!C39</f>
        <v>0</v>
      </c>
      <c r="Y11" s="24">
        <f>+'Dia 23'!C39</f>
        <v>0</v>
      </c>
      <c r="Z11" s="24">
        <f>+'Dia 24'!C39</f>
        <v>0</v>
      </c>
      <c r="AA11" s="24">
        <f>+'Dia 25'!C39</f>
        <v>0</v>
      </c>
      <c r="AB11" s="24">
        <f>+'Dia 26'!C39</f>
        <v>0</v>
      </c>
      <c r="AC11" s="24">
        <f>+'Dia 27'!C39</f>
        <v>0</v>
      </c>
      <c r="AD11" s="24">
        <f>+'Dia 28'!C39</f>
        <v>0</v>
      </c>
      <c r="AE11" s="24">
        <f>+'Dia 29'!C39</f>
        <v>0</v>
      </c>
      <c r="AF11" s="24">
        <f>+'Dia 30'!C39</f>
        <v>0</v>
      </c>
      <c r="AG11" s="24">
        <f>+'Dia 31'!C39</f>
        <v>0</v>
      </c>
      <c r="AH11" s="24">
        <f t="shared" si="0"/>
        <v>0</v>
      </c>
    </row>
    <row r="12" spans="1:34" x14ac:dyDescent="0.2">
      <c r="A12" s="3"/>
      <c r="B12" s="3" t="s">
        <v>95</v>
      </c>
      <c r="C12" s="24">
        <f>+'Dia 1'!C40</f>
        <v>0</v>
      </c>
      <c r="D12" s="24">
        <f>+'Dia 2'!C40</f>
        <v>0</v>
      </c>
      <c r="E12" s="24">
        <f>+'Dia 3'!C40</f>
        <v>0</v>
      </c>
      <c r="F12" s="24">
        <f>+'Dia 4'!C40</f>
        <v>0</v>
      </c>
      <c r="G12" s="24">
        <f>+'Dia 5'!C40</f>
        <v>0</v>
      </c>
      <c r="H12" s="24">
        <f>+'Dia 6'!C40</f>
        <v>0</v>
      </c>
      <c r="I12" s="24">
        <f>+'Dia 7'!C40</f>
        <v>0</v>
      </c>
      <c r="J12" s="24">
        <f>+'Dia 8'!C40</f>
        <v>0</v>
      </c>
      <c r="K12" s="24">
        <f>+'Dia 9'!C40</f>
        <v>0</v>
      </c>
      <c r="L12" s="24">
        <f>+'Dia 10'!C40</f>
        <v>0</v>
      </c>
      <c r="M12" s="24">
        <f>+'Dia 11'!C40</f>
        <v>0</v>
      </c>
      <c r="N12" s="24">
        <f>+'Dia 12'!C40</f>
        <v>0</v>
      </c>
      <c r="O12" s="24">
        <f>+'Dia 13'!C40</f>
        <v>0</v>
      </c>
      <c r="P12" s="24">
        <f>+'Dia 14'!C40</f>
        <v>0</v>
      </c>
      <c r="Q12" s="24">
        <f>+'Dia 15'!C40</f>
        <v>0</v>
      </c>
      <c r="R12" s="24">
        <f>+'Dia 16'!C40</f>
        <v>0</v>
      </c>
      <c r="S12" s="24">
        <f>+'Dia 17'!C40</f>
        <v>0</v>
      </c>
      <c r="T12" s="24">
        <f>+'Dia 18'!C40</f>
        <v>0</v>
      </c>
      <c r="U12" s="24">
        <f>+'Dia 19'!C40</f>
        <v>0</v>
      </c>
      <c r="V12" s="24">
        <f>+'Dia 20'!C40</f>
        <v>0</v>
      </c>
      <c r="W12" s="24">
        <f>+'Dia 21'!C40</f>
        <v>0</v>
      </c>
      <c r="X12" s="24">
        <f>+'Dia 22'!C40</f>
        <v>0</v>
      </c>
      <c r="Y12" s="24">
        <f>+'Dia 23'!C40</f>
        <v>0</v>
      </c>
      <c r="Z12" s="24">
        <f>+'Dia 24'!C40</f>
        <v>0</v>
      </c>
      <c r="AA12" s="24">
        <f>+'Dia 25'!C40</f>
        <v>0</v>
      </c>
      <c r="AB12" s="24">
        <f>+'Dia 26'!C40</f>
        <v>0</v>
      </c>
      <c r="AC12" s="24">
        <f>+'Dia 27'!C40</f>
        <v>0</v>
      </c>
      <c r="AD12" s="24">
        <f>+'Dia 28'!C40</f>
        <v>0</v>
      </c>
      <c r="AE12" s="24">
        <f>+'Dia 29'!C40</f>
        <v>0</v>
      </c>
      <c r="AF12" s="24">
        <f>+'Dia 30'!C40</f>
        <v>0</v>
      </c>
      <c r="AG12" s="24">
        <f>+'Dia 31'!C40</f>
        <v>0</v>
      </c>
      <c r="AH12" s="24">
        <f t="shared" si="0"/>
        <v>0</v>
      </c>
    </row>
    <row r="13" spans="1:34" x14ac:dyDescent="0.2">
      <c r="A13" s="3"/>
      <c r="B13" s="3" t="s">
        <v>96</v>
      </c>
      <c r="C13" s="24">
        <f>+'Dia 1'!C41</f>
        <v>0</v>
      </c>
      <c r="D13" s="24">
        <f>+'Dia 2'!C41</f>
        <v>0</v>
      </c>
      <c r="E13" s="24">
        <f>+'Dia 3'!C41</f>
        <v>0</v>
      </c>
      <c r="F13" s="24">
        <f>+'Dia 4'!C41</f>
        <v>0</v>
      </c>
      <c r="G13" s="24">
        <f>+'Dia 5'!C41</f>
        <v>0</v>
      </c>
      <c r="H13" s="24">
        <f>+'Dia 6'!C41</f>
        <v>0</v>
      </c>
      <c r="I13" s="24">
        <f>+'Dia 7'!C41</f>
        <v>0</v>
      </c>
      <c r="J13" s="24">
        <f>+'Dia 8'!C41</f>
        <v>0</v>
      </c>
      <c r="K13" s="24">
        <f>+'Dia 9'!C41</f>
        <v>0</v>
      </c>
      <c r="L13" s="24">
        <f>+'Dia 10'!C41</f>
        <v>0</v>
      </c>
      <c r="M13" s="24">
        <f>+'Dia 11'!C41</f>
        <v>0</v>
      </c>
      <c r="N13" s="24">
        <f>+'Dia 12'!C41</f>
        <v>0</v>
      </c>
      <c r="O13" s="24">
        <f>+'Dia 13'!C41</f>
        <v>0</v>
      </c>
      <c r="P13" s="24">
        <f>+'Dia 14'!C41</f>
        <v>0</v>
      </c>
      <c r="Q13" s="24">
        <f>+'Dia 15'!C41</f>
        <v>0</v>
      </c>
      <c r="R13" s="24">
        <f>+'Dia 16'!C41</f>
        <v>0</v>
      </c>
      <c r="S13" s="24">
        <f>+'Dia 17'!C41</f>
        <v>0</v>
      </c>
      <c r="T13" s="24">
        <f>+'Dia 18'!C41</f>
        <v>0</v>
      </c>
      <c r="U13" s="24">
        <f>+'Dia 19'!C41</f>
        <v>0</v>
      </c>
      <c r="V13" s="24">
        <f>+'Dia 20'!C41</f>
        <v>0</v>
      </c>
      <c r="W13" s="24">
        <f>+'Dia 21'!C41</f>
        <v>0</v>
      </c>
      <c r="X13" s="24">
        <f>+'Dia 22'!C41</f>
        <v>0</v>
      </c>
      <c r="Y13" s="24">
        <f>+'Dia 23'!C41</f>
        <v>0</v>
      </c>
      <c r="Z13" s="24">
        <f>+'Dia 24'!C41</f>
        <v>0</v>
      </c>
      <c r="AA13" s="24">
        <f>+'Dia 25'!C41</f>
        <v>0</v>
      </c>
      <c r="AB13" s="24">
        <f>+'Dia 26'!C41</f>
        <v>0</v>
      </c>
      <c r="AC13" s="24">
        <f>+'Dia 27'!C41</f>
        <v>0</v>
      </c>
      <c r="AD13" s="24">
        <f>+'Dia 28'!C41</f>
        <v>0</v>
      </c>
      <c r="AE13" s="24">
        <f>+'Dia 29'!C41</f>
        <v>0</v>
      </c>
      <c r="AF13" s="24">
        <f>+'Dia 30'!C41</f>
        <v>0</v>
      </c>
      <c r="AG13" s="24">
        <f>+'Dia 31'!C41</f>
        <v>0</v>
      </c>
      <c r="AH13" s="24">
        <f t="shared" si="0"/>
        <v>0</v>
      </c>
    </row>
    <row r="14" spans="1:34" x14ac:dyDescent="0.2">
      <c r="C14" s="24">
        <f>+'Dia 1'!C42</f>
        <v>0</v>
      </c>
      <c r="D14" s="24">
        <f>+'Dia 2'!C42</f>
        <v>0</v>
      </c>
      <c r="E14" s="24">
        <f>+'Dia 3'!C42</f>
        <v>0</v>
      </c>
      <c r="F14" s="24">
        <f>+'Dia 4'!C42</f>
        <v>0</v>
      </c>
      <c r="G14" s="24">
        <f>+'Dia 5'!C42</f>
        <v>0</v>
      </c>
      <c r="H14" s="24">
        <f>+'Dia 6'!C42</f>
        <v>0</v>
      </c>
      <c r="I14" s="24">
        <f>+'Dia 7'!C42</f>
        <v>0</v>
      </c>
      <c r="J14" s="24">
        <f>+'Dia 8'!C42</f>
        <v>0</v>
      </c>
      <c r="K14" s="24">
        <f>+'Dia 9'!C42</f>
        <v>0</v>
      </c>
      <c r="L14" s="24">
        <f>+'Dia 10'!C42</f>
        <v>0</v>
      </c>
      <c r="M14" s="24">
        <f>+'Dia 11'!C42</f>
        <v>0</v>
      </c>
      <c r="N14" s="24">
        <f>+'Dia 12'!C42</f>
        <v>0</v>
      </c>
      <c r="O14" s="24">
        <f>+'Dia 13'!C42</f>
        <v>0</v>
      </c>
      <c r="P14" s="24">
        <f>+'Dia 14'!C42</f>
        <v>0</v>
      </c>
      <c r="Q14" s="24">
        <f>+'Dia 15'!C42</f>
        <v>0</v>
      </c>
      <c r="R14" s="24">
        <f>+'Dia 16'!C42</f>
        <v>0</v>
      </c>
      <c r="S14" s="24">
        <f>+'Dia 17'!C42</f>
        <v>0</v>
      </c>
      <c r="T14" s="24">
        <f>+'Dia 18'!C42</f>
        <v>0</v>
      </c>
      <c r="U14" s="24">
        <f>+'Dia 19'!C42</f>
        <v>0</v>
      </c>
      <c r="V14" s="24">
        <f>+'Dia 20'!C42</f>
        <v>0</v>
      </c>
      <c r="W14" s="24">
        <f>+'Dia 21'!C42</f>
        <v>0</v>
      </c>
      <c r="X14" s="24">
        <f>+'Dia 22'!C42</f>
        <v>0</v>
      </c>
      <c r="Y14" s="24">
        <f>+'Dia 23'!C42</f>
        <v>0</v>
      </c>
      <c r="Z14" s="24">
        <f>+'Dia 24'!C42</f>
        <v>0</v>
      </c>
      <c r="AA14" s="24">
        <f>+'Dia 25'!C42</f>
        <v>0</v>
      </c>
      <c r="AB14" s="24">
        <f>+'Dia 26'!C42</f>
        <v>0</v>
      </c>
      <c r="AC14" s="24">
        <f>+'Dia 27'!C42</f>
        <v>0</v>
      </c>
      <c r="AD14" s="24">
        <f>+'Dia 28'!C42</f>
        <v>0</v>
      </c>
      <c r="AE14" s="24">
        <f>+'Dia 29'!C42</f>
        <v>0</v>
      </c>
      <c r="AF14" s="24">
        <f>+'Dia 30'!C42</f>
        <v>0</v>
      </c>
      <c r="AG14" s="24">
        <f>+'Dia 31'!C42</f>
        <v>0</v>
      </c>
      <c r="AH14" s="24">
        <f t="shared" si="0"/>
        <v>0</v>
      </c>
    </row>
    <row r="15" spans="1:34" x14ac:dyDescent="0.2">
      <c r="C15" s="24">
        <f>SUM(C6:C14)</f>
        <v>4000</v>
      </c>
      <c r="D15" s="24">
        <f t="shared" ref="D15:H15" si="1">SUM(D6:D14)</f>
        <v>4000</v>
      </c>
      <c r="E15" s="24">
        <f t="shared" si="1"/>
        <v>4000</v>
      </c>
      <c r="F15" s="24">
        <f>SUM(F6:F14)</f>
        <v>4000</v>
      </c>
      <c r="G15" s="24">
        <f t="shared" si="1"/>
        <v>4000</v>
      </c>
      <c r="H15" s="24">
        <f t="shared" si="1"/>
        <v>4000</v>
      </c>
      <c r="I15" s="24">
        <f>SUM(I6:I14)</f>
        <v>4000</v>
      </c>
      <c r="J15" s="24">
        <f t="shared" ref="J15:AG15" si="2">SUM(J6:J14)</f>
        <v>4000</v>
      </c>
      <c r="K15" s="24">
        <f t="shared" si="2"/>
        <v>4000</v>
      </c>
      <c r="L15" s="24">
        <f t="shared" si="2"/>
        <v>4000</v>
      </c>
      <c r="M15" s="24">
        <f t="shared" si="2"/>
        <v>4000</v>
      </c>
      <c r="N15" s="24">
        <f t="shared" si="2"/>
        <v>4000</v>
      </c>
      <c r="O15" s="24">
        <f t="shared" si="2"/>
        <v>4000</v>
      </c>
      <c r="P15" s="24">
        <f t="shared" si="2"/>
        <v>4000</v>
      </c>
      <c r="Q15" s="24">
        <f t="shared" si="2"/>
        <v>4000</v>
      </c>
      <c r="R15" s="24">
        <f t="shared" si="2"/>
        <v>4000</v>
      </c>
      <c r="S15" s="24">
        <f t="shared" si="2"/>
        <v>4000</v>
      </c>
      <c r="T15" s="24">
        <f t="shared" si="2"/>
        <v>4000</v>
      </c>
      <c r="U15" s="24">
        <f t="shared" si="2"/>
        <v>4000</v>
      </c>
      <c r="V15" s="24">
        <f t="shared" si="2"/>
        <v>4000</v>
      </c>
      <c r="W15" s="24">
        <f t="shared" si="2"/>
        <v>4000</v>
      </c>
      <c r="X15" s="24">
        <f t="shared" si="2"/>
        <v>4000</v>
      </c>
      <c r="Y15" s="24">
        <f t="shared" si="2"/>
        <v>4000</v>
      </c>
      <c r="Z15" s="24">
        <f t="shared" si="2"/>
        <v>4000</v>
      </c>
      <c r="AA15" s="24">
        <f t="shared" si="2"/>
        <v>4000</v>
      </c>
      <c r="AB15" s="24">
        <f t="shared" si="2"/>
        <v>4000</v>
      </c>
      <c r="AC15" s="24">
        <f t="shared" si="2"/>
        <v>4000</v>
      </c>
      <c r="AD15" s="24">
        <f t="shared" si="2"/>
        <v>4000</v>
      </c>
      <c r="AE15" s="24">
        <f t="shared" si="2"/>
        <v>4000</v>
      </c>
      <c r="AF15" s="24">
        <f t="shared" si="2"/>
        <v>4000</v>
      </c>
      <c r="AG15" s="24">
        <f t="shared" si="2"/>
        <v>4000</v>
      </c>
      <c r="AH15" s="24">
        <f>SUM(C15:AG15)</f>
        <v>124000</v>
      </c>
    </row>
    <row r="17" spans="2:34" x14ac:dyDescent="0.2">
      <c r="B17" s="26">
        <v>0.02</v>
      </c>
      <c r="C17" s="24">
        <f>'Dia 1'!D43</f>
        <v>4</v>
      </c>
      <c r="D17" s="24">
        <f>'Dia 2'!D43</f>
        <v>0</v>
      </c>
      <c r="E17" s="24">
        <f>+'Dia 3'!D43</f>
        <v>19</v>
      </c>
      <c r="F17" s="24">
        <f>+'Dia 4'!D43</f>
        <v>3</v>
      </c>
      <c r="G17" s="24">
        <f>+'Dia 5'!D43</f>
        <v>2</v>
      </c>
      <c r="H17" s="24">
        <f>+'Dia 6'!D43</f>
        <v>3</v>
      </c>
      <c r="I17" s="24">
        <f>+'Dia 7'!D43</f>
        <v>10</v>
      </c>
      <c r="J17" s="24">
        <f>+'Dia 8'!D43</f>
        <v>8.1</v>
      </c>
      <c r="K17" s="24">
        <f>+'Dia 9'!D43</f>
        <v>2</v>
      </c>
      <c r="L17" s="24">
        <f>+'Dia 10'!D43</f>
        <v>4</v>
      </c>
      <c r="M17" s="24">
        <f>+'Dia 11'!D43</f>
        <v>20</v>
      </c>
      <c r="N17" s="24">
        <f>+'Dia 12'!D43</f>
        <v>1</v>
      </c>
      <c r="O17" s="24">
        <f>+'Dia 13'!D43</f>
        <v>3</v>
      </c>
      <c r="P17" s="24">
        <f>+'Dia 14'!D43</f>
        <v>18</v>
      </c>
      <c r="Q17" s="24">
        <f>+'Dia 15'!D43</f>
        <v>2</v>
      </c>
      <c r="R17" s="24">
        <f>+'Dia 16'!D43</f>
        <v>13</v>
      </c>
      <c r="S17" s="24">
        <f>+'Dia 17'!D43</f>
        <v>6</v>
      </c>
      <c r="T17" s="24">
        <f>+'Dia 18'!D43</f>
        <v>5</v>
      </c>
      <c r="U17" s="24">
        <f>+'Dia 19'!D43</f>
        <v>3</v>
      </c>
      <c r="V17" s="24">
        <f>+'Dia 20'!D43</f>
        <v>4</v>
      </c>
      <c r="W17" s="24">
        <f>+'Dia 21'!D43</f>
        <v>5</v>
      </c>
      <c r="X17" s="24">
        <f>+'Dia 22'!D43</f>
        <v>2</v>
      </c>
      <c r="Y17" s="24">
        <f>+'Dia 23'!D43</f>
        <v>1</v>
      </c>
      <c r="Z17" s="24">
        <f>+'Dia 25'!D43</f>
        <v>2</v>
      </c>
      <c r="AA17" s="24">
        <f>+'Dia 25'!D43</f>
        <v>2</v>
      </c>
      <c r="AB17" s="24">
        <f>+'Dia 26'!D43</f>
        <v>5</v>
      </c>
      <c r="AC17" s="24">
        <f>+'Dia 27'!D43</f>
        <v>1</v>
      </c>
      <c r="AD17" s="24">
        <f>+'Dia 28'!D43</f>
        <v>2</v>
      </c>
      <c r="AE17" s="24">
        <f>+'Dia 29'!D43</f>
        <v>4</v>
      </c>
      <c r="AF17" s="24">
        <f>+'Dia 30'!D43</f>
        <v>2</v>
      </c>
      <c r="AG17" s="24">
        <f>+'Dia 31'!D43</f>
        <v>10</v>
      </c>
      <c r="AH17" s="37">
        <f>SUM(C17:AG17)</f>
        <v>166.1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9"/>
  <sheetViews>
    <sheetView workbookViewId="0">
      <selection activeCell="D20" sqref="D20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8.5" customWidth="1"/>
  </cols>
  <sheetData>
    <row r="1" spans="2:10" x14ac:dyDescent="0.2">
      <c r="B1" t="s">
        <v>113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169</v>
      </c>
      <c r="G4" s="4">
        <v>0</v>
      </c>
      <c r="H4" s="4">
        <v>0</v>
      </c>
      <c r="I4" s="4">
        <f>+C4+E5+F5+G4+H4+D5</f>
        <v>86190</v>
      </c>
      <c r="J4" s="3">
        <f>+I4/F2</f>
        <v>169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86190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86190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11.843137254901961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>
        <v>324</v>
      </c>
      <c r="D19" s="33">
        <f>C19/D2</f>
        <v>0.63529411764705879</v>
      </c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4324</v>
      </c>
      <c r="D30" s="34">
        <f>SUM(D10:D20)+D24+D25+D26+D27+D28+D29</f>
        <v>12.47843137254902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/>
    </row>
    <row r="35" spans="2:4" x14ac:dyDescent="0.2">
      <c r="B35" s="3" t="s">
        <v>91</v>
      </c>
      <c r="C35" s="4">
        <v>2000</v>
      </c>
      <c r="D35" s="4">
        <f>C35/F2</f>
        <v>3.9215686274509802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>C37/F2</f>
        <v>3.9215686274509802</v>
      </c>
    </row>
    <row r="38" spans="2:4" x14ac:dyDescent="0.2">
      <c r="B38" s="3" t="s">
        <v>93</v>
      </c>
      <c r="C38" s="4"/>
      <c r="D38" s="4"/>
    </row>
    <row r="39" spans="2:4" x14ac:dyDescent="0.2">
      <c r="B39" s="3" t="s">
        <v>94</v>
      </c>
      <c r="C39" s="4"/>
      <c r="D39" s="4"/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4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11.843137254901961</v>
      </c>
    </row>
    <row r="49" spans="2:3" x14ac:dyDescent="0.2">
      <c r="B49" s="11"/>
      <c r="C49" s="12"/>
    </row>
  </sheetData>
  <mergeCells count="2">
    <mergeCell ref="B7:C7"/>
    <mergeCell ref="B3:B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9"/>
  <sheetViews>
    <sheetView topLeftCell="B21" workbookViewId="0">
      <selection activeCell="F19" sqref="F19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24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v>0</v>
      </c>
      <c r="D4" s="15">
        <v>0</v>
      </c>
      <c r="E4" s="4">
        <v>0</v>
      </c>
      <c r="F4" s="4">
        <v>0</v>
      </c>
      <c r="G4" s="4">
        <v>0</v>
      </c>
      <c r="H4" s="4">
        <v>0</v>
      </c>
      <c r="I4" s="4">
        <f>+C4+E5+F5+G4+H4+D5</f>
        <v>0</v>
      </c>
      <c r="J4" s="3">
        <f>+I4/F2</f>
        <v>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27.843137254901961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>
        <v>60</v>
      </c>
      <c r="E25" t="s">
        <v>129</v>
      </c>
    </row>
    <row r="26" spans="2:5" x14ac:dyDescent="0.2">
      <c r="B26" s="3" t="s">
        <v>23</v>
      </c>
      <c r="C26" s="4"/>
      <c r="D26" s="33"/>
    </row>
    <row r="27" spans="2:5" x14ac:dyDescent="0.2">
      <c r="B27" s="3" t="s">
        <v>7</v>
      </c>
      <c r="C27" s="4"/>
      <c r="D27" s="33"/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4000</v>
      </c>
      <c r="D30" s="34">
        <f>SUM(D10:D20)+D24+D25+D26+D27+D28+D29</f>
        <v>87.843137254901961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8" si="0">C37/$F$2</f>
        <v>3.9215686274509802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v>20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0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27.843137254901961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J49"/>
  <sheetViews>
    <sheetView topLeftCell="B11" workbookViewId="0">
      <selection activeCell="D25" sqref="D25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26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135130</v>
      </c>
      <c r="D4" s="15">
        <v>0</v>
      </c>
      <c r="E4" s="4">
        <v>0</v>
      </c>
      <c r="F4" s="4">
        <v>574</v>
      </c>
      <c r="G4" s="4">
        <v>0</v>
      </c>
      <c r="H4" s="4">
        <v>50000</v>
      </c>
      <c r="I4" s="4">
        <f>+C4+E5+F5+G4+H4+D5</f>
        <v>477870</v>
      </c>
      <c r="J4" s="39">
        <f>+I4/F2</f>
        <v>937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292740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477870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  <c r="H9" s="38">
        <v>50000</v>
      </c>
    </row>
    <row r="10" spans="2:10" x14ac:dyDescent="0.2">
      <c r="B10" s="3" t="s">
        <v>2</v>
      </c>
      <c r="C10" s="4">
        <f>+C48</f>
        <v>4000</v>
      </c>
      <c r="D10" s="4">
        <f>+D48</f>
        <v>26.843137254901961</v>
      </c>
      <c r="G10">
        <v>4910</v>
      </c>
      <c r="H10" s="38">
        <v>85130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100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>
        <v>100</v>
      </c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>
        <v>2000</v>
      </c>
      <c r="D25" s="33">
        <f>20+C25/510</f>
        <v>23.921568627450981</v>
      </c>
      <c r="E25" t="s">
        <v>130</v>
      </c>
    </row>
    <row r="26" spans="2:5" x14ac:dyDescent="0.2">
      <c r="B26" s="3" t="s">
        <v>23</v>
      </c>
      <c r="C26" s="4"/>
      <c r="D26" s="33"/>
    </row>
    <row r="27" spans="2:5" x14ac:dyDescent="0.2">
      <c r="B27" s="3" t="s">
        <v>7</v>
      </c>
      <c r="C27" s="4"/>
      <c r="D27" s="33"/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6000</v>
      </c>
      <c r="D30" s="34">
        <f>SUM(D10:D20)+D24+D25+D26+D27+D28+D29</f>
        <v>150.76470588235293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8" si="0">C37/$F$2</f>
        <v>3.9215686274509802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/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19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26.843137254901961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9"/>
  <sheetViews>
    <sheetView workbookViewId="0">
      <selection activeCell="G9" sqref="G9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107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110</v>
      </c>
      <c r="G4" s="4">
        <v>0</v>
      </c>
      <c r="H4" s="4">
        <v>0</v>
      </c>
      <c r="I4" s="4">
        <f>+C4+E5+F5+G4+H4+D5</f>
        <v>56100</v>
      </c>
      <c r="J4" s="3">
        <f>+I4/F2</f>
        <v>110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56100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56100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10.843137254901961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10.843137254901961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9" si="0">C37/$F$2</f>
        <v>3.9215686274509802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3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10.843137254901961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49"/>
  <sheetViews>
    <sheetView tabSelected="1" topLeftCell="A6" workbookViewId="0">
      <selection activeCell="F13" sqref="F13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116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10000</v>
      </c>
      <c r="D4" s="15">
        <v>0</v>
      </c>
      <c r="E4" s="4">
        <v>0</v>
      </c>
      <c r="F4" s="4">
        <v>36</v>
      </c>
      <c r="G4" s="4">
        <v>0</v>
      </c>
      <c r="H4" s="4">
        <v>15500</v>
      </c>
      <c r="I4" s="4">
        <f>+C4+E5+F5+G4+H4+D5</f>
        <v>43860</v>
      </c>
      <c r="J4" s="3">
        <f>+I4/F2</f>
        <v>86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18360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43860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  <c r="H9">
        <v>10000</v>
      </c>
    </row>
    <row r="10" spans="2:10" x14ac:dyDescent="0.2">
      <c r="B10" s="3" t="s">
        <v>2</v>
      </c>
      <c r="C10" s="4">
        <f>+C48</f>
        <v>4000</v>
      </c>
      <c r="D10" s="4">
        <f>+D48</f>
        <v>9.8431372549019613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9.8431372549019613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9.8431372549019613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49"/>
  <sheetViews>
    <sheetView topLeftCell="B3" workbookViewId="0">
      <selection activeCell="G17" sqref="G17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28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74</v>
      </c>
      <c r="E4" s="4">
        <v>0</v>
      </c>
      <c r="F4" s="4">
        <v>65</v>
      </c>
      <c r="G4" s="4">
        <v>0</v>
      </c>
      <c r="H4" s="4">
        <v>0</v>
      </c>
      <c r="I4" s="4">
        <f>+C4+E5+F5+G4+H4+D5</f>
        <v>70890</v>
      </c>
      <c r="J4" s="3">
        <f>+I4/F2</f>
        <v>139</v>
      </c>
    </row>
    <row r="5" spans="2:10" x14ac:dyDescent="0.2">
      <c r="B5" s="59"/>
      <c r="C5" s="16"/>
      <c r="D5" s="4">
        <f>+D4*D2</f>
        <v>37740</v>
      </c>
      <c r="E5" s="4">
        <f>+E4*E2</f>
        <v>0</v>
      </c>
      <c r="F5" s="4">
        <f>+F4*F2</f>
        <v>33150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70890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30.843137254901961</v>
      </c>
      <c r="G10">
        <v>4910</v>
      </c>
    </row>
    <row r="11" spans="2:10" x14ac:dyDescent="0.2">
      <c r="B11" s="3" t="s">
        <v>3</v>
      </c>
      <c r="C11" s="4">
        <v>20000</v>
      </c>
      <c r="D11" s="33">
        <f>60+C11/E2</f>
        <v>99.215686274509807</v>
      </c>
      <c r="E11" t="s">
        <v>131</v>
      </c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24000</v>
      </c>
      <c r="D30" s="34">
        <f>SUM(D10:D20)+D24+D25+D26+D27+D28+D29</f>
        <v>130.05882352941177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8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v>20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3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30.843137254901961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49"/>
  <sheetViews>
    <sheetView topLeftCell="A18" workbookViewId="0">
      <selection activeCell="F24" sqref="F2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29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20000</v>
      </c>
      <c r="D4" s="15">
        <v>0</v>
      </c>
      <c r="E4" s="4">
        <v>0</v>
      </c>
      <c r="F4" s="4">
        <f>296+99+10</f>
        <v>405</v>
      </c>
      <c r="G4" s="4">
        <f>19800+4000+1700</f>
        <v>25500</v>
      </c>
      <c r="H4" s="4">
        <v>5500</v>
      </c>
      <c r="I4" s="4">
        <f>+C4+E5+F5+G4+H4+D5</f>
        <v>257550</v>
      </c>
      <c r="J4" s="3">
        <f>+I4/F2</f>
        <v>505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206550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257550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  <c r="H9">
        <v>10000</v>
      </c>
    </row>
    <row r="10" spans="2:10" x14ac:dyDescent="0.2">
      <c r="B10" s="3" t="s">
        <v>2</v>
      </c>
      <c r="C10" s="4">
        <f>+C48</f>
        <v>4000</v>
      </c>
      <c r="D10" s="4">
        <f>+D48</f>
        <v>17.843137254901961</v>
      </c>
      <c r="G10">
        <v>4910</v>
      </c>
      <c r="H10">
        <v>10000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>
        <v>99</v>
      </c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/>
    </row>
    <row r="26" spans="2:5" x14ac:dyDescent="0.2">
      <c r="B26" s="3" t="s">
        <v>23</v>
      </c>
      <c r="C26" s="4"/>
      <c r="D26" s="33"/>
    </row>
    <row r="27" spans="2:5" x14ac:dyDescent="0.2">
      <c r="B27" s="3" t="s">
        <v>7</v>
      </c>
      <c r="C27" s="4">
        <v>1700</v>
      </c>
      <c r="D27" s="33">
        <f>C27/F2</f>
        <v>3.3333333333333335</v>
      </c>
      <c r="E27" t="s">
        <v>106</v>
      </c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5700</v>
      </c>
      <c r="D30" s="34">
        <f>SUM(D10:D20)+D24+D25+D26+D27+D28+D29</f>
        <v>120.17647058823529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>C35/510</f>
        <v>3.9215686274509802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9" si="0">C37/$F$2</f>
        <v>3.9215686274509802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ROUND(J4*0.02,0)</f>
        <v>10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17.843137254901961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B1:J49"/>
  <sheetViews>
    <sheetView topLeftCell="B1" workbookViewId="0">
      <selection activeCell="H8" sqref="H8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30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f>175+9</f>
        <v>184</v>
      </c>
      <c r="G4" s="4">
        <f>50060+4000+68140</f>
        <v>122200</v>
      </c>
      <c r="H4" s="4">
        <v>1100</v>
      </c>
      <c r="I4" s="4">
        <f>+C4+E5+F5+G4+H4+D5</f>
        <v>217140</v>
      </c>
      <c r="J4" s="3">
        <f>+I4/F2</f>
        <v>425.76470588235293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93840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217140</v>
      </c>
      <c r="G8" t="s">
        <v>105</v>
      </c>
      <c r="H8">
        <f>68140/510</f>
        <v>133.60784313725489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15.943137254901959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15.943137254901959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9" si="0">C37/$F$2</f>
        <v>3.9215686274509802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405*0.02</f>
        <v>8.1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15.943137254901959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49"/>
  <sheetViews>
    <sheetView topLeftCell="B17" workbookViewId="0">
      <selection activeCell="J4" sqref="J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31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60</v>
      </c>
      <c r="G4" s="4">
        <v>12750</v>
      </c>
      <c r="H4" s="4">
        <v>0</v>
      </c>
      <c r="I4" s="4">
        <f>+C4+E5+F5+G4+H4+D5</f>
        <v>43350</v>
      </c>
      <c r="J4" s="3">
        <f>+I4/F2</f>
        <v>85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30600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43350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9.8431372549019613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/>
    </row>
    <row r="26" spans="2:5" x14ac:dyDescent="0.2">
      <c r="B26" s="3" t="s">
        <v>23</v>
      </c>
      <c r="C26" s="4"/>
      <c r="D26" s="33"/>
    </row>
    <row r="27" spans="2:5" x14ac:dyDescent="0.2">
      <c r="B27" s="3" t="s">
        <v>7</v>
      </c>
      <c r="C27" s="4">
        <v>500</v>
      </c>
      <c r="D27" s="33">
        <f>C27/F2</f>
        <v>0.98039215686274506</v>
      </c>
      <c r="E27" t="s">
        <v>106</v>
      </c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4500</v>
      </c>
      <c r="D30" s="34">
        <f>SUM(D10:D20)+D24+D25+D26+D27+D28+D29</f>
        <v>10.823529411764707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>C35/$F$2</f>
        <v>3.9215686274509802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>C37/$F$2</f>
        <v>3.9215686274509802</v>
      </c>
    </row>
    <row r="38" spans="2:4" x14ac:dyDescent="0.2">
      <c r="B38" s="3" t="s">
        <v>93</v>
      </c>
      <c r="C38" s="4"/>
      <c r="D38" s="4">
        <f t="shared" ref="D38:D39" si="0">C38/$F$2</f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9.8431372549019613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49"/>
  <sheetViews>
    <sheetView workbookViewId="0">
      <selection activeCell="D38" sqref="D38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32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158</v>
      </c>
      <c r="G4" s="4">
        <v>0</v>
      </c>
      <c r="H4" s="4">
        <v>0</v>
      </c>
      <c r="I4" s="4">
        <f>+C4+E5+F5+G4+H4+D5</f>
        <v>80580</v>
      </c>
      <c r="J4" s="3">
        <f>+I4/F2</f>
        <v>158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80580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v>158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v>4000</v>
      </c>
      <c r="D10" s="4">
        <f>+D48</f>
        <v>11.843137254901961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11.843137254901961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4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11.843137254901961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"/>
  <sheetViews>
    <sheetView topLeftCell="A48" workbookViewId="0">
      <selection activeCell="D59" sqref="D59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33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f>903+20+50</f>
        <v>973</v>
      </c>
      <c r="G4" s="4">
        <v>0</v>
      </c>
      <c r="H4" s="4">
        <v>0</v>
      </c>
      <c r="I4" s="4">
        <f>+C4+E5+F5+G4+H4+D5</f>
        <v>496230</v>
      </c>
      <c r="J4" s="3">
        <f>+I4/F2</f>
        <v>973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496230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496230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27.843137254901961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>
        <v>260.64</v>
      </c>
      <c r="D16" s="33">
        <f>C16/D2</f>
        <v>0.51105882352941179</v>
      </c>
      <c r="E16" s="16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>
        <v>20.7</v>
      </c>
      <c r="D19" s="33">
        <f>C19/D2</f>
        <v>4.0588235294117647E-2</v>
      </c>
      <c r="E19" s="16"/>
    </row>
    <row r="20" spans="2:5" x14ac:dyDescent="0.2">
      <c r="B20" s="3" t="s">
        <v>9</v>
      </c>
      <c r="C20" s="4">
        <f>C21+C22+C23</f>
        <v>0</v>
      </c>
      <c r="D20" s="33">
        <f>D21+D22+D23</f>
        <v>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/>
    </row>
    <row r="26" spans="2:5" x14ac:dyDescent="0.2">
      <c r="B26" s="3" t="s">
        <v>23</v>
      </c>
      <c r="C26" s="4"/>
      <c r="D26" s="33">
        <v>50</v>
      </c>
      <c r="E26" t="s">
        <v>118</v>
      </c>
    </row>
    <row r="27" spans="2:5" x14ac:dyDescent="0.2">
      <c r="B27" s="3" t="s">
        <v>7</v>
      </c>
      <c r="C27" s="4">
        <v>900</v>
      </c>
      <c r="D27" s="33">
        <f>C27/F2</f>
        <v>1.7647058823529411</v>
      </c>
      <c r="E27" t="s">
        <v>117</v>
      </c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5181.34</v>
      </c>
      <c r="D30" s="34">
        <f>SUM(D10:D20)+D24+D25+D26+D27+D28+D29</f>
        <v>80.159490196078437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20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27.843137254901961</v>
      </c>
    </row>
    <row r="49" spans="1:4" x14ac:dyDescent="0.2">
      <c r="B49" s="11"/>
      <c r="C49" s="12"/>
    </row>
    <row r="51" spans="1:4" x14ac:dyDescent="0.2">
      <c r="C51" t="s">
        <v>101</v>
      </c>
      <c r="D51" t="s">
        <v>14</v>
      </c>
    </row>
    <row r="52" spans="1:4" x14ac:dyDescent="0.2">
      <c r="B52" s="1" t="s">
        <v>108</v>
      </c>
      <c r="C52" s="52">
        <f>SUM(C53:C57)</f>
        <v>46848.909999999996</v>
      </c>
      <c r="D52" s="52">
        <f>C52/$F$2</f>
        <v>91.860607843137245</v>
      </c>
    </row>
    <row r="53" spans="1:4" x14ac:dyDescent="0.2">
      <c r="A53">
        <v>114022</v>
      </c>
      <c r="B53" s="3" t="s">
        <v>146</v>
      </c>
      <c r="C53">
        <v>29505.69</v>
      </c>
      <c r="D53" s="53">
        <f>C53/$F$2</f>
        <v>57.854294117647058</v>
      </c>
    </row>
    <row r="54" spans="1:4" x14ac:dyDescent="0.2">
      <c r="A54">
        <v>820232</v>
      </c>
      <c r="B54" s="3" t="s">
        <v>147</v>
      </c>
      <c r="C54" s="53">
        <v>679</v>
      </c>
      <c r="D54" s="53">
        <f t="shared" ref="D54:D57" si="1">C54/$F$2</f>
        <v>1.3313725490196078</v>
      </c>
    </row>
    <row r="55" spans="1:4" x14ac:dyDescent="0.2">
      <c r="A55">
        <v>810132</v>
      </c>
      <c r="B55" s="3" t="s">
        <v>148</v>
      </c>
      <c r="C55" s="53">
        <v>1851.81</v>
      </c>
      <c r="D55" s="53">
        <f t="shared" si="1"/>
        <v>3.6309999999999998</v>
      </c>
    </row>
    <row r="56" spans="1:4" x14ac:dyDescent="0.2">
      <c r="A56">
        <v>510122</v>
      </c>
      <c r="B56" s="3" t="s">
        <v>149</v>
      </c>
      <c r="C56" s="53">
        <v>14594.74</v>
      </c>
      <c r="D56" s="53">
        <f>C56/$F$2</f>
        <v>28.617137254901959</v>
      </c>
    </row>
    <row r="57" spans="1:4" x14ac:dyDescent="0.2">
      <c r="A57">
        <v>520522</v>
      </c>
      <c r="B57" s="3" t="s">
        <v>150</v>
      </c>
      <c r="C57" s="53">
        <v>217.67</v>
      </c>
      <c r="D57" s="53">
        <f t="shared" si="1"/>
        <v>0.42680392156862745</v>
      </c>
    </row>
  </sheetData>
  <mergeCells count="2">
    <mergeCell ref="B3:B5"/>
    <mergeCell ref="B7:C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49"/>
  <sheetViews>
    <sheetView workbookViewId="0">
      <selection activeCell="F5" sqref="F5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34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35</v>
      </c>
      <c r="G4" s="4">
        <v>0</v>
      </c>
      <c r="H4" s="4">
        <v>0</v>
      </c>
      <c r="I4" s="4">
        <f>+C4+E5+F5+G4+H4+D5</f>
        <v>17850</v>
      </c>
      <c r="J4" s="3">
        <f>+I4/F2</f>
        <v>35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17850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17850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8.8431372549019613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8.8431372549019613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>
        <f>C35/F2</f>
        <v>0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8.8431372549019613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49"/>
  <sheetViews>
    <sheetView topLeftCell="A13" workbookViewId="0">
      <selection activeCell="B51" sqref="B51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120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80</v>
      </c>
      <c r="G4" s="4">
        <v>25500</v>
      </c>
      <c r="H4" s="4">
        <v>0</v>
      </c>
      <c r="I4" s="4">
        <f>+C4+E5+F5+G4+H4+D5</f>
        <v>66300</v>
      </c>
      <c r="J4" s="3">
        <f>+I4/F2</f>
        <v>130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40800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66300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10.843137254901961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10.843137254901961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>C35/F2</f>
        <v>3.9215686274509802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9" si="0">C37/$F$2</f>
        <v>3.9215686274509802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3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10.843137254901961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B1:J49"/>
  <sheetViews>
    <sheetView topLeftCell="B24" workbookViewId="0">
      <selection activeCell="B2" sqref="B2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121</v>
      </c>
    </row>
    <row r="2" spans="2:10" x14ac:dyDescent="0.2">
      <c r="D2">
        <v>512</v>
      </c>
      <c r="E2">
        <v>512</v>
      </c>
      <c r="F2">
        <v>512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f>528+154</f>
        <v>682</v>
      </c>
      <c r="G4" s="4">
        <v>92160</v>
      </c>
      <c r="H4" s="4">
        <v>0</v>
      </c>
      <c r="I4" s="4">
        <f>+C4+E5+F5+G4+H4+D5</f>
        <v>441344</v>
      </c>
      <c r="J4" s="3">
        <f>+I4/F2</f>
        <v>862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349184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441344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25.8125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>
        <v>114</v>
      </c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40</v>
      </c>
    </row>
    <row r="21" spans="2:5" x14ac:dyDescent="0.2">
      <c r="B21" s="30" t="s">
        <v>98</v>
      </c>
      <c r="C21" s="4"/>
      <c r="D21" s="33">
        <v>40</v>
      </c>
      <c r="E21" s="40" t="s">
        <v>119</v>
      </c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/>
    </row>
    <row r="26" spans="2:5" x14ac:dyDescent="0.2">
      <c r="B26" s="3" t="s">
        <v>23</v>
      </c>
      <c r="C26" s="4"/>
      <c r="D26" s="33"/>
    </row>
    <row r="27" spans="2:5" x14ac:dyDescent="0.2">
      <c r="B27" s="3" t="s">
        <v>7</v>
      </c>
      <c r="C27" s="4"/>
      <c r="D27" s="33"/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4000</v>
      </c>
      <c r="D30" s="34">
        <f>SUM(D10:D20)+D24+D25+D26+D27+D28+D29</f>
        <v>179.8125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 t="shared" ref="D35:D39" si="0">C35/$F$2</f>
        <v>3.90625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si="0"/>
        <v>3.90625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18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25.8125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49"/>
  <sheetViews>
    <sheetView workbookViewId="0">
      <selection activeCell="D35" sqref="D35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122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60</v>
      </c>
      <c r="G4" s="4">
        <v>0</v>
      </c>
      <c r="H4" s="4">
        <v>0</v>
      </c>
      <c r="I4" s="4">
        <f>+C4+E5+F5+G4+H4+D5</f>
        <v>30600</v>
      </c>
      <c r="J4" s="3">
        <f>+I4/F2</f>
        <v>60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30600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30600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9.8431372549019613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9.8431372549019613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 t="shared" ref="D35:D39" si="0">C35/$F$2</f>
        <v>3.9215686274509802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si="0"/>
        <v>0</v>
      </c>
    </row>
    <row r="38" spans="2:4" x14ac:dyDescent="0.2">
      <c r="B38" s="3" t="s">
        <v>93</v>
      </c>
      <c r="C38" s="4">
        <v>2000</v>
      </c>
      <c r="D38" s="4">
        <f t="shared" si="0"/>
        <v>3.9215686274509802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9.8431372549019613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J49"/>
  <sheetViews>
    <sheetView topLeftCell="A2" zoomScale="90" zoomScaleNormal="90" workbookViewId="0">
      <selection activeCell="D43" sqref="D43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  <col min="9" max="9" width="16.33203125" customWidth="1"/>
    <col min="10" max="10" width="13.6640625" customWidth="1"/>
  </cols>
  <sheetData>
    <row r="1" spans="2:10" x14ac:dyDescent="0.2">
      <c r="B1" t="s">
        <v>123</v>
      </c>
    </row>
    <row r="2" spans="2:10" x14ac:dyDescent="0.2">
      <c r="D2">
        <v>510</v>
      </c>
      <c r="E2">
        <v>510</v>
      </c>
      <c r="F2">
        <v>510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7965</v>
      </c>
      <c r="D4" s="15">
        <v>0</v>
      </c>
      <c r="E4" s="4">
        <v>0</v>
      </c>
      <c r="F4" s="4">
        <f>557+20</f>
        <v>577</v>
      </c>
      <c r="G4" s="4">
        <v>7700</v>
      </c>
      <c r="H4" s="4">
        <v>10000</v>
      </c>
      <c r="I4" s="4">
        <f>+C4+E5+F5+G4+H4+D5</f>
        <v>319935</v>
      </c>
      <c r="J4" s="3">
        <f>+I4/F2</f>
        <v>627.32352941176475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294270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319935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40.843137254901961</v>
      </c>
      <c r="G10">
        <v>4910</v>
      </c>
      <c r="H10">
        <v>7965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8" x14ac:dyDescent="0.2">
      <c r="B17" s="3" t="s">
        <v>6</v>
      </c>
      <c r="C17" s="4"/>
      <c r="D17" s="33"/>
      <c r="H17" s="16"/>
    </row>
    <row r="18" spans="2:8" x14ac:dyDescent="0.2">
      <c r="B18" s="3" t="s">
        <v>83</v>
      </c>
      <c r="C18" s="4"/>
      <c r="D18" s="33"/>
      <c r="H18" s="16"/>
    </row>
    <row r="19" spans="2:8" x14ac:dyDescent="0.2">
      <c r="B19" s="3" t="s">
        <v>8</v>
      </c>
      <c r="C19" s="4"/>
      <c r="D19" s="33"/>
    </row>
    <row r="20" spans="2:8" x14ac:dyDescent="0.2">
      <c r="B20" s="3" t="s">
        <v>9</v>
      </c>
      <c r="C20" s="4">
        <f>C21+C22+C23</f>
        <v>0</v>
      </c>
      <c r="D20" s="33">
        <f>D21+D22+D23</f>
        <v>0</v>
      </c>
    </row>
    <row r="21" spans="2:8" x14ac:dyDescent="0.2">
      <c r="B21" s="30" t="s">
        <v>98</v>
      </c>
      <c r="C21" s="4"/>
      <c r="D21" s="33"/>
    </row>
    <row r="22" spans="2:8" x14ac:dyDescent="0.2">
      <c r="B22" s="30" t="s">
        <v>99</v>
      </c>
      <c r="C22" s="4"/>
      <c r="D22" s="33"/>
    </row>
    <row r="23" spans="2:8" x14ac:dyDescent="0.2">
      <c r="B23" s="30" t="s">
        <v>100</v>
      </c>
      <c r="C23" s="4"/>
      <c r="D23" s="33"/>
    </row>
    <row r="24" spans="2:8" x14ac:dyDescent="0.2">
      <c r="B24" s="3" t="s">
        <v>10</v>
      </c>
      <c r="C24" s="4"/>
      <c r="D24" s="33"/>
    </row>
    <row r="25" spans="2:8" x14ac:dyDescent="0.2">
      <c r="B25" s="3" t="s">
        <v>11</v>
      </c>
      <c r="C25" s="4"/>
      <c r="D25" s="33"/>
    </row>
    <row r="26" spans="2:8" x14ac:dyDescent="0.2">
      <c r="B26" s="3" t="s">
        <v>23</v>
      </c>
      <c r="C26" s="4"/>
      <c r="D26" s="33"/>
    </row>
    <row r="27" spans="2:8" x14ac:dyDescent="0.2">
      <c r="B27" s="3" t="s">
        <v>7</v>
      </c>
      <c r="C27" s="4"/>
      <c r="D27" s="33"/>
    </row>
    <row r="28" spans="2:8" x14ac:dyDescent="0.2">
      <c r="B28" s="3" t="s">
        <v>47</v>
      </c>
      <c r="C28" s="4"/>
      <c r="D28" s="33"/>
    </row>
    <row r="29" spans="2:8" x14ac:dyDescent="0.2">
      <c r="B29" s="3" t="s">
        <v>50</v>
      </c>
      <c r="C29" s="4"/>
      <c r="D29" s="33"/>
    </row>
    <row r="30" spans="2:8" x14ac:dyDescent="0.2">
      <c r="B30" s="1" t="s">
        <v>18</v>
      </c>
      <c r="C30" s="2">
        <f>SUM(C10:C29)</f>
        <v>4000</v>
      </c>
      <c r="D30" s="34">
        <f>SUM(D10:D20)+D24+D25+D26+D27+D28+D29</f>
        <v>40.843137254901961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3.9215686274509802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8" si="0">C37/$F$2</f>
        <v>3.9215686274509802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v>20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13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40.843137254901961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J49"/>
  <sheetViews>
    <sheetView topLeftCell="B2" workbookViewId="0">
      <selection activeCell="G22" sqref="G22"/>
    </sheetView>
  </sheetViews>
  <sheetFormatPr baseColWidth="10" defaultColWidth="11.33203125" defaultRowHeight="15" x14ac:dyDescent="0.2"/>
  <cols>
    <col min="2" max="2" width="36.66406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124</v>
      </c>
    </row>
    <row r="2" spans="2:10" x14ac:dyDescent="0.2">
      <c r="D2">
        <v>514</v>
      </c>
      <c r="E2">
        <v>514</v>
      </c>
      <c r="F2">
        <v>514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280</v>
      </c>
      <c r="G4" s="4">
        <v>0</v>
      </c>
      <c r="H4" s="4">
        <v>0</v>
      </c>
      <c r="I4" s="4">
        <f>+C4+E5+F5+G4+H4+D5</f>
        <v>143920</v>
      </c>
      <c r="J4" s="3">
        <f>+I4/F2</f>
        <v>280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143920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143920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13.782101167315176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/>
    </row>
    <row r="26" spans="2:5" x14ac:dyDescent="0.2">
      <c r="B26" s="3" t="s">
        <v>23</v>
      </c>
      <c r="C26" s="41">
        <v>3000</v>
      </c>
      <c r="D26" s="33"/>
      <c r="E26" t="s">
        <v>128</v>
      </c>
    </row>
    <row r="27" spans="2:5" x14ac:dyDescent="0.2">
      <c r="B27" s="3" t="s">
        <v>7</v>
      </c>
      <c r="C27" s="4"/>
      <c r="D27" s="33"/>
    </row>
    <row r="28" spans="2:5" x14ac:dyDescent="0.2">
      <c r="B28" s="3" t="s">
        <v>47</v>
      </c>
      <c r="C28" s="4"/>
      <c r="D28" s="33"/>
    </row>
    <row r="29" spans="2:5" x14ac:dyDescent="0.2">
      <c r="B29" s="3" t="s">
        <v>127</v>
      </c>
      <c r="D29" s="33"/>
    </row>
    <row r="30" spans="2:5" x14ac:dyDescent="0.2">
      <c r="B30" s="1" t="s">
        <v>18</v>
      </c>
      <c r="C30" s="2">
        <f>SUM(C10:C28)</f>
        <v>7000</v>
      </c>
      <c r="D30" s="34">
        <f>SUM(D10:D20)+D24+D25+D26+D27+D28+D29</f>
        <v>13.782101167315176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3.8910505836575875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3.8910505836575875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6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13.782101167315176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49"/>
  <sheetViews>
    <sheetView topLeftCell="B1" workbookViewId="0">
      <selection activeCell="C4" sqref="C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125</v>
      </c>
    </row>
    <row r="2" spans="2:10" x14ac:dyDescent="0.2">
      <c r="D2">
        <v>514</v>
      </c>
      <c r="E2">
        <v>514</v>
      </c>
      <c r="F2">
        <v>514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50</v>
      </c>
      <c r="F4" s="4">
        <f>240+5-50</f>
        <v>195</v>
      </c>
      <c r="G4" s="4">
        <v>1050</v>
      </c>
      <c r="H4" s="4">
        <v>0</v>
      </c>
      <c r="I4" s="4">
        <f>+C4+E5+F5+G4+H4+D5</f>
        <v>126980</v>
      </c>
      <c r="J4" s="3">
        <f>+I4/F2</f>
        <v>247.04280155642024</v>
      </c>
    </row>
    <row r="5" spans="2:10" x14ac:dyDescent="0.2">
      <c r="B5" s="59"/>
      <c r="C5" s="16"/>
      <c r="D5" s="4">
        <f>+D4*D2</f>
        <v>0</v>
      </c>
      <c r="E5" s="4">
        <f>+E4*E2</f>
        <v>25700</v>
      </c>
      <c r="F5" s="4">
        <f>+F4*F2</f>
        <v>100230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126980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12.782101167315176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12.782101167315176</v>
      </c>
    </row>
    <row r="33" spans="2:7" x14ac:dyDescent="0.2">
      <c r="B33" s="31" t="s">
        <v>2</v>
      </c>
      <c r="C33" s="5" t="s">
        <v>101</v>
      </c>
      <c r="D33" s="5" t="s">
        <v>14</v>
      </c>
    </row>
    <row r="34" spans="2:7" x14ac:dyDescent="0.2">
      <c r="B34" s="3" t="s">
        <v>90</v>
      </c>
      <c r="C34" s="32">
        <v>2000</v>
      </c>
      <c r="D34" s="4">
        <f>C34/$F$2</f>
        <v>3.8910505836575875</v>
      </c>
    </row>
    <row r="35" spans="2:7" x14ac:dyDescent="0.2">
      <c r="B35" s="3" t="s">
        <v>91</v>
      </c>
      <c r="C35" s="4"/>
      <c r="D35" s="4"/>
    </row>
    <row r="36" spans="2:7" x14ac:dyDescent="0.2">
      <c r="B36" s="3" t="s">
        <v>92</v>
      </c>
      <c r="C36" s="4"/>
      <c r="D36" s="4"/>
    </row>
    <row r="37" spans="2:7" x14ac:dyDescent="0.2">
      <c r="B37" s="3" t="s">
        <v>97</v>
      </c>
      <c r="C37" s="4"/>
      <c r="D37" s="4">
        <f t="shared" ref="D37:D39" si="0">C37/$F$2</f>
        <v>0</v>
      </c>
    </row>
    <row r="38" spans="2:7" x14ac:dyDescent="0.2">
      <c r="B38" s="3" t="s">
        <v>93</v>
      </c>
      <c r="C38" s="4">
        <v>2000</v>
      </c>
      <c r="D38" s="4">
        <f t="shared" si="0"/>
        <v>3.8910505836575875</v>
      </c>
    </row>
    <row r="39" spans="2:7" x14ac:dyDescent="0.2">
      <c r="B39" s="3" t="s">
        <v>94</v>
      </c>
      <c r="C39" s="4"/>
      <c r="D39" s="4">
        <f t="shared" si="0"/>
        <v>0</v>
      </c>
    </row>
    <row r="40" spans="2:7" x14ac:dyDescent="0.2">
      <c r="B40" s="3" t="s">
        <v>95</v>
      </c>
      <c r="C40" s="4"/>
      <c r="D40" s="4"/>
    </row>
    <row r="41" spans="2:7" x14ac:dyDescent="0.2">
      <c r="B41" s="3" t="s">
        <v>96</v>
      </c>
      <c r="C41" s="4"/>
      <c r="D41" s="4"/>
    </row>
    <row r="42" spans="2:7" x14ac:dyDescent="0.2">
      <c r="B42" s="3"/>
      <c r="C42" s="4"/>
      <c r="D42" s="3"/>
      <c r="G42" s="16"/>
    </row>
    <row r="43" spans="2:7" x14ac:dyDescent="0.2">
      <c r="B43" s="25">
        <v>0.02</v>
      </c>
      <c r="C43" s="4"/>
      <c r="D43" s="29">
        <f>ROUNDUP(J4*0.02,0)</f>
        <v>5</v>
      </c>
    </row>
    <row r="44" spans="2:7" x14ac:dyDescent="0.2">
      <c r="B44" s="3"/>
      <c r="C44" s="4"/>
      <c r="D44" s="3"/>
    </row>
    <row r="45" spans="2:7" x14ac:dyDescent="0.2">
      <c r="B45" s="3"/>
      <c r="C45" s="4"/>
      <c r="D45" s="3"/>
    </row>
    <row r="46" spans="2:7" x14ac:dyDescent="0.2">
      <c r="B46" s="3"/>
      <c r="C46" s="4"/>
      <c r="D46" s="3"/>
    </row>
    <row r="47" spans="2:7" x14ac:dyDescent="0.2">
      <c r="B47" s="3"/>
      <c r="C47" s="4"/>
      <c r="D47" s="3"/>
    </row>
    <row r="48" spans="2:7" x14ac:dyDescent="0.2">
      <c r="B48" s="1" t="s">
        <v>19</v>
      </c>
      <c r="C48" s="2">
        <f>SUM(C34:C47)</f>
        <v>4000</v>
      </c>
      <c r="D48" s="2">
        <f>SUM(D34:D47)</f>
        <v>12.782101167315176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49"/>
  <sheetViews>
    <sheetView topLeftCell="C1" workbookViewId="0">
      <selection activeCell="H15" sqref="H15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126</v>
      </c>
    </row>
    <row r="2" spans="2:10" x14ac:dyDescent="0.2">
      <c r="D2">
        <v>512</v>
      </c>
      <c r="E2">
        <v>512</v>
      </c>
      <c r="F2">
        <v>512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20720</v>
      </c>
      <c r="D4" s="15">
        <v>0</v>
      </c>
      <c r="E4" s="4">
        <v>0</v>
      </c>
      <c r="F4" s="4">
        <v>55</v>
      </c>
      <c r="G4" s="4">
        <v>12800</v>
      </c>
      <c r="H4" s="4">
        <v>10000</v>
      </c>
      <c r="I4" s="4">
        <f>+C4+E5+F5+G4+H4+D5</f>
        <v>71680</v>
      </c>
      <c r="J4" s="3">
        <f>+I4/F2</f>
        <v>140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28160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71680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  <c r="H9">
        <v>10720</v>
      </c>
    </row>
    <row r="10" spans="2:10" x14ac:dyDescent="0.2">
      <c r="B10" s="3" t="s">
        <v>2</v>
      </c>
      <c r="C10" s="4">
        <f>+C48</f>
        <v>4000</v>
      </c>
      <c r="D10" s="4">
        <f>+D48</f>
        <v>10.8125</v>
      </c>
      <c r="G10">
        <v>4910</v>
      </c>
      <c r="H10">
        <v>10000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10.8125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2">
        <f>C35/$F$2</f>
        <v>3.90625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9" si="0">C37/$F$2</f>
        <v>3.90625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3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10.8125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J49"/>
  <sheetViews>
    <sheetView workbookViewId="0">
      <selection activeCell="F4" sqref="F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107</v>
      </c>
    </row>
    <row r="2" spans="2:10" x14ac:dyDescent="0.2">
      <c r="D2">
        <v>512</v>
      </c>
      <c r="E2">
        <v>512</v>
      </c>
      <c r="F2">
        <v>512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165</v>
      </c>
      <c r="G4" s="4">
        <v>0</v>
      </c>
      <c r="H4" s="4">
        <v>0</v>
      </c>
      <c r="I4" s="4">
        <f>+C4+E5+F5+G4+H4+D5</f>
        <v>84480</v>
      </c>
      <c r="J4" s="3">
        <f>+I4/F2</f>
        <v>165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84480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84480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11.8125</v>
      </c>
      <c r="G10">
        <v>4910</v>
      </c>
    </row>
    <row r="11" spans="2:10" x14ac:dyDescent="0.2">
      <c r="B11" s="3" t="s">
        <v>3</v>
      </c>
      <c r="C11" s="4"/>
      <c r="D11" s="33"/>
      <c r="H11" s="4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  <c r="G16" s="16"/>
    </row>
    <row r="17" spans="2:8" x14ac:dyDescent="0.2">
      <c r="B17" s="3" t="s">
        <v>6</v>
      </c>
      <c r="C17" s="4"/>
      <c r="D17" s="33"/>
    </row>
    <row r="18" spans="2:8" x14ac:dyDescent="0.2">
      <c r="B18" s="3" t="s">
        <v>83</v>
      </c>
      <c r="C18" s="4"/>
      <c r="D18" s="33"/>
      <c r="H18" s="16"/>
    </row>
    <row r="19" spans="2:8" x14ac:dyDescent="0.2">
      <c r="B19" s="3" t="s">
        <v>8</v>
      </c>
      <c r="C19" s="4"/>
      <c r="D19" s="33"/>
    </row>
    <row r="20" spans="2:8" x14ac:dyDescent="0.2">
      <c r="B20" s="3" t="s">
        <v>9</v>
      </c>
      <c r="C20" s="4">
        <f>C21+C22+C23</f>
        <v>0</v>
      </c>
      <c r="D20" s="33">
        <f>D21+D22+D23</f>
        <v>0</v>
      </c>
    </row>
    <row r="21" spans="2:8" x14ac:dyDescent="0.2">
      <c r="B21" s="30" t="s">
        <v>98</v>
      </c>
      <c r="C21" s="4"/>
      <c r="D21" s="33"/>
      <c r="H21" s="16"/>
    </row>
    <row r="22" spans="2:8" x14ac:dyDescent="0.2">
      <c r="B22" s="30" t="s">
        <v>99</v>
      </c>
      <c r="C22" s="4"/>
      <c r="D22" s="33"/>
    </row>
    <row r="23" spans="2:8" x14ac:dyDescent="0.2">
      <c r="B23" s="30" t="s">
        <v>100</v>
      </c>
      <c r="C23" s="4"/>
      <c r="D23" s="33"/>
    </row>
    <row r="24" spans="2:8" x14ac:dyDescent="0.2">
      <c r="B24" s="3" t="s">
        <v>10</v>
      </c>
      <c r="C24" s="4"/>
      <c r="D24" s="33"/>
    </row>
    <row r="25" spans="2:8" x14ac:dyDescent="0.2">
      <c r="B25" s="3" t="s">
        <v>11</v>
      </c>
      <c r="C25" s="4"/>
      <c r="D25" s="33"/>
    </row>
    <row r="26" spans="2:8" x14ac:dyDescent="0.2">
      <c r="B26" s="3" t="s">
        <v>23</v>
      </c>
      <c r="C26" s="4"/>
      <c r="D26" s="33"/>
    </row>
    <row r="27" spans="2:8" x14ac:dyDescent="0.2">
      <c r="B27" s="3" t="s">
        <v>7</v>
      </c>
      <c r="C27" s="4"/>
      <c r="D27" s="33"/>
    </row>
    <row r="28" spans="2:8" x14ac:dyDescent="0.2">
      <c r="B28" s="3" t="s">
        <v>47</v>
      </c>
      <c r="C28" s="4"/>
      <c r="D28" s="33"/>
    </row>
    <row r="29" spans="2:8" x14ac:dyDescent="0.2">
      <c r="B29" s="3" t="s">
        <v>50</v>
      </c>
      <c r="C29" s="4"/>
      <c r="D29" s="33"/>
    </row>
    <row r="30" spans="2:8" x14ac:dyDescent="0.2">
      <c r="B30" s="1" t="s">
        <v>18</v>
      </c>
      <c r="C30" s="2">
        <f>SUM(C10:C29)</f>
        <v>4000</v>
      </c>
      <c r="D30" s="34">
        <f>SUM(D10:D20)+D24+D25+D26+D27+D28+D29</f>
        <v>11.8125</v>
      </c>
    </row>
    <row r="33" spans="2:7" x14ac:dyDescent="0.2">
      <c r="B33" s="31" t="s">
        <v>2</v>
      </c>
      <c r="C33" s="5" t="s">
        <v>101</v>
      </c>
      <c r="D33" s="5" t="s">
        <v>14</v>
      </c>
      <c r="G33" s="16"/>
    </row>
    <row r="34" spans="2:7" x14ac:dyDescent="0.2">
      <c r="B34" s="3" t="s">
        <v>90</v>
      </c>
      <c r="C34" s="32"/>
      <c r="D34" s="4">
        <f>C34/$F$2</f>
        <v>0</v>
      </c>
    </row>
    <row r="35" spans="2:7" x14ac:dyDescent="0.2">
      <c r="B35" s="3" t="s">
        <v>91</v>
      </c>
      <c r="C35" s="4">
        <v>2000</v>
      </c>
      <c r="D35" s="4">
        <f>C35/$F$2</f>
        <v>3.90625</v>
      </c>
    </row>
    <row r="36" spans="2:7" x14ac:dyDescent="0.2">
      <c r="B36" s="3" t="s">
        <v>92</v>
      </c>
      <c r="C36" s="4"/>
      <c r="D36" s="4"/>
    </row>
    <row r="37" spans="2:7" x14ac:dyDescent="0.2">
      <c r="B37" s="3" t="s">
        <v>97</v>
      </c>
      <c r="C37" s="4">
        <v>2000</v>
      </c>
      <c r="D37" s="4">
        <f t="shared" ref="D37:D39" si="0">C37/$F$2</f>
        <v>3.90625</v>
      </c>
    </row>
    <row r="38" spans="2:7" x14ac:dyDescent="0.2">
      <c r="B38" s="3" t="s">
        <v>93</v>
      </c>
      <c r="C38" s="4"/>
      <c r="D38" s="4">
        <f t="shared" si="0"/>
        <v>0</v>
      </c>
    </row>
    <row r="39" spans="2:7" x14ac:dyDescent="0.2">
      <c r="B39" s="3" t="s">
        <v>94</v>
      </c>
      <c r="C39" s="4"/>
      <c r="D39" s="4">
        <f t="shared" si="0"/>
        <v>0</v>
      </c>
    </row>
    <row r="40" spans="2:7" x14ac:dyDescent="0.2">
      <c r="B40" s="3" t="s">
        <v>95</v>
      </c>
      <c r="C40" s="4"/>
      <c r="D40" s="4"/>
    </row>
    <row r="41" spans="2:7" x14ac:dyDescent="0.2">
      <c r="B41" s="3" t="s">
        <v>96</v>
      </c>
      <c r="C41" s="4"/>
      <c r="D41" s="4"/>
    </row>
    <row r="42" spans="2:7" x14ac:dyDescent="0.2">
      <c r="B42" s="3"/>
      <c r="C42" s="4"/>
      <c r="D42" s="3"/>
    </row>
    <row r="43" spans="2:7" x14ac:dyDescent="0.2">
      <c r="B43" s="25">
        <v>0.02</v>
      </c>
      <c r="C43" s="4"/>
      <c r="D43" s="44">
        <f>ROUNDUP(J4*0.02,0)</f>
        <v>4</v>
      </c>
    </row>
    <row r="44" spans="2:7" x14ac:dyDescent="0.2">
      <c r="B44" s="3"/>
      <c r="C44" s="4"/>
      <c r="D44" s="3"/>
    </row>
    <row r="45" spans="2:7" x14ac:dyDescent="0.2">
      <c r="B45" s="3"/>
      <c r="C45" s="4"/>
      <c r="D45" s="3"/>
    </row>
    <row r="46" spans="2:7" x14ac:dyDescent="0.2">
      <c r="B46" s="3"/>
      <c r="C46" s="4"/>
      <c r="D46" s="3"/>
    </row>
    <row r="47" spans="2:7" x14ac:dyDescent="0.2">
      <c r="B47" s="3"/>
      <c r="C47" s="4"/>
      <c r="D47" s="3"/>
    </row>
    <row r="48" spans="2:7" x14ac:dyDescent="0.2">
      <c r="B48" s="1" t="s">
        <v>19</v>
      </c>
      <c r="C48" s="2">
        <f>SUM(C34:C47)</f>
        <v>4000</v>
      </c>
      <c r="D48" s="2">
        <f>SUM(D34:D47)</f>
        <v>11.8125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49"/>
  <sheetViews>
    <sheetView topLeftCell="B1" workbookViewId="0">
      <selection activeCell="G4" sqref="G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132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170</v>
      </c>
      <c r="G4" s="4">
        <v>16250</v>
      </c>
      <c r="H4" s="4">
        <v>0</v>
      </c>
      <c r="I4" s="4">
        <f>+C4+E5+F5+G4+H4+D5</f>
        <v>103800</v>
      </c>
      <c r="J4" s="3">
        <f>+I4/F2</f>
        <v>201.55339805825244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87550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103800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12.766990291262136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  <c r="F13">
        <f>(4000/515)</f>
        <v>7.766990291262136</v>
      </c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12.766990291262136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 t="shared" ref="D35:D39" si="0">C35/$F$2</f>
        <v>3.883495145631068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si="0"/>
        <v>3.883495145631068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5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12.766990291262136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J49"/>
  <sheetViews>
    <sheetView zoomScale="70" zoomScaleNormal="70" workbookViewId="0">
      <selection activeCell="D30" sqref="D30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  <col min="9" max="9" width="12.5" bestFit="1" customWidth="1"/>
  </cols>
  <sheetData>
    <row r="1" spans="2:10" x14ac:dyDescent="0.2">
      <c r="B1" t="s">
        <v>133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95</v>
      </c>
      <c r="G4" s="4">
        <v>0</v>
      </c>
      <c r="H4" s="4">
        <v>0</v>
      </c>
      <c r="I4" s="4">
        <f>+C4+E5+F5+G4+H4+D5</f>
        <v>48925</v>
      </c>
      <c r="J4" s="3">
        <f>+I4/F2</f>
        <v>95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48925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48925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/>
      <c r="D10" s="4">
        <f>+D48</f>
        <v>9.766990291262136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0</v>
      </c>
      <c r="D30" s="34">
        <f>SUM(D10:D20)+D24+D25+D26+D27+D28+D29</f>
        <v>9.766990291262136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3.883495145631068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49"/>
  <sheetViews>
    <sheetView zoomScale="85" zoomScaleNormal="85" workbookViewId="0">
      <selection activeCell="H16" sqref="H16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134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0</v>
      </c>
      <c r="G4" s="4">
        <f>13550+4000+500</f>
        <v>18050</v>
      </c>
      <c r="H4" s="4">
        <v>0</v>
      </c>
      <c r="I4" s="4">
        <f>+C4+E5+F5+G4+H4+D5</f>
        <v>18050</v>
      </c>
      <c r="J4" s="29">
        <f>+I4/F2</f>
        <v>35.04854368932039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18050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8.766990291262136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  <c r="G16" s="45"/>
      <c r="H16" s="47"/>
    </row>
    <row r="17" spans="2:8" x14ac:dyDescent="0.2">
      <c r="B17" s="3" t="s">
        <v>6</v>
      </c>
      <c r="C17" s="4"/>
      <c r="D17" s="33"/>
      <c r="H17" s="16"/>
    </row>
    <row r="18" spans="2:8" x14ac:dyDescent="0.2">
      <c r="B18" s="3" t="s">
        <v>83</v>
      </c>
      <c r="C18" s="4"/>
      <c r="D18" s="33"/>
    </row>
    <row r="19" spans="2:8" x14ac:dyDescent="0.2">
      <c r="B19" s="3" t="s">
        <v>8</v>
      </c>
      <c r="C19" s="4"/>
      <c r="D19" s="33"/>
    </row>
    <row r="20" spans="2:8" x14ac:dyDescent="0.2">
      <c r="B20" s="3" t="s">
        <v>9</v>
      </c>
      <c r="C20" s="4">
        <f>C21+C22+C23</f>
        <v>0</v>
      </c>
      <c r="D20" s="33">
        <f>D21+D22+D23</f>
        <v>0</v>
      </c>
    </row>
    <row r="21" spans="2:8" x14ac:dyDescent="0.2">
      <c r="B21" s="30" t="s">
        <v>98</v>
      </c>
      <c r="C21" s="4"/>
      <c r="D21" s="33"/>
    </row>
    <row r="22" spans="2:8" x14ac:dyDescent="0.2">
      <c r="B22" s="30" t="s">
        <v>99</v>
      </c>
      <c r="C22" s="4"/>
      <c r="D22" s="33"/>
    </row>
    <row r="23" spans="2:8" x14ac:dyDescent="0.2">
      <c r="B23" s="30" t="s">
        <v>100</v>
      </c>
      <c r="C23" s="4"/>
      <c r="D23" s="33"/>
    </row>
    <row r="24" spans="2:8" x14ac:dyDescent="0.2">
      <c r="B24" s="3" t="s">
        <v>10</v>
      </c>
      <c r="C24" s="4"/>
      <c r="D24" s="33"/>
    </row>
    <row r="25" spans="2:8" x14ac:dyDescent="0.2">
      <c r="B25" s="3" t="s">
        <v>11</v>
      </c>
      <c r="C25" s="4"/>
      <c r="D25" s="33"/>
    </row>
    <row r="26" spans="2:8" x14ac:dyDescent="0.2">
      <c r="B26" s="3" t="s">
        <v>23</v>
      </c>
      <c r="C26" s="4"/>
      <c r="D26" s="33"/>
    </row>
    <row r="27" spans="2:8" x14ac:dyDescent="0.2">
      <c r="B27" s="3" t="s">
        <v>7</v>
      </c>
      <c r="C27" s="4"/>
      <c r="D27" s="33"/>
    </row>
    <row r="28" spans="2:8" x14ac:dyDescent="0.2">
      <c r="B28" s="3" t="s">
        <v>47</v>
      </c>
      <c r="C28" s="4"/>
      <c r="D28" s="33"/>
    </row>
    <row r="29" spans="2:8" x14ac:dyDescent="0.2">
      <c r="B29" s="3" t="s">
        <v>50</v>
      </c>
      <c r="C29" s="4"/>
      <c r="D29" s="33"/>
    </row>
    <row r="30" spans="2:8" x14ac:dyDescent="0.2">
      <c r="B30" s="1" t="s">
        <v>18</v>
      </c>
      <c r="C30" s="2">
        <f>SUM(C10:C29)</f>
        <v>4000</v>
      </c>
      <c r="D30" s="34">
        <f>SUM(D10:D20)+D24+D25+D26+D27+D28+D29</f>
        <v>8.766990291262136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3.883495145631068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8.766990291262136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49"/>
  <sheetViews>
    <sheetView topLeftCell="D1" workbookViewId="0">
      <selection activeCell="F4" sqref="F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135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457</v>
      </c>
      <c r="G4" s="4">
        <v>0</v>
      </c>
      <c r="H4" s="4">
        <v>0</v>
      </c>
      <c r="I4" s="4">
        <f>+C4+E5+F5+G4+H4+D5</f>
        <v>235355</v>
      </c>
      <c r="J4" s="3">
        <f>+I4/F2</f>
        <v>457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235355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235355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17.766990291262136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  <c r="G14" s="16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17.766990291262136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3.883495145631068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10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17.766990291262136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49"/>
  <sheetViews>
    <sheetView topLeftCell="B1" workbookViewId="0">
      <selection activeCell="H38" sqref="H38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136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85</v>
      </c>
      <c r="G4" s="4">
        <v>0</v>
      </c>
      <c r="H4" s="4">
        <v>0</v>
      </c>
      <c r="I4" s="4">
        <f>+C4+E5+F5+G4+H4+D5</f>
        <v>43775</v>
      </c>
      <c r="J4" s="3">
        <f>+I4/F2</f>
        <v>85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43775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43775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9.766990291262136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6" x14ac:dyDescent="0.2">
      <c r="B17" s="3" t="s">
        <v>6</v>
      </c>
      <c r="C17" s="4"/>
      <c r="D17" s="33"/>
    </row>
    <row r="18" spans="2:6" x14ac:dyDescent="0.2">
      <c r="B18" s="3" t="s">
        <v>83</v>
      </c>
      <c r="C18" s="4"/>
      <c r="D18" s="33"/>
    </row>
    <row r="19" spans="2:6" x14ac:dyDescent="0.2">
      <c r="B19" s="3" t="s">
        <v>8</v>
      </c>
      <c r="C19" s="4"/>
      <c r="D19" s="33"/>
    </row>
    <row r="20" spans="2:6" x14ac:dyDescent="0.2">
      <c r="B20" s="3" t="s">
        <v>9</v>
      </c>
      <c r="C20" s="4">
        <f>C21+C22+C23</f>
        <v>0</v>
      </c>
      <c r="D20" s="33">
        <f>D21+D22+D23</f>
        <v>0</v>
      </c>
    </row>
    <row r="21" spans="2:6" x14ac:dyDescent="0.2">
      <c r="B21" s="3" t="s">
        <v>98</v>
      </c>
      <c r="C21" s="4"/>
      <c r="D21" s="33"/>
    </row>
    <row r="22" spans="2:6" x14ac:dyDescent="0.2">
      <c r="B22" s="3" t="s">
        <v>99</v>
      </c>
      <c r="C22" s="4"/>
      <c r="D22" s="33"/>
    </row>
    <row r="23" spans="2:6" x14ac:dyDescent="0.2">
      <c r="B23" s="3" t="s">
        <v>100</v>
      </c>
      <c r="C23" s="4"/>
      <c r="D23" s="33"/>
    </row>
    <row r="24" spans="2:6" x14ac:dyDescent="0.2">
      <c r="B24" s="3" t="s">
        <v>10</v>
      </c>
      <c r="C24" s="4"/>
      <c r="D24" s="33"/>
    </row>
    <row r="25" spans="2:6" x14ac:dyDescent="0.2">
      <c r="B25" s="3" t="s">
        <v>11</v>
      </c>
      <c r="C25" s="4"/>
      <c r="D25" s="33"/>
    </row>
    <row r="26" spans="2:6" x14ac:dyDescent="0.2">
      <c r="B26" s="3" t="s">
        <v>23</v>
      </c>
      <c r="C26" s="4"/>
      <c r="D26" s="33"/>
    </row>
    <row r="27" spans="2:6" x14ac:dyDescent="0.2">
      <c r="B27" s="3" t="s">
        <v>7</v>
      </c>
      <c r="C27" s="4"/>
      <c r="D27" s="33"/>
      <c r="F27" s="50"/>
    </row>
    <row r="28" spans="2:6" x14ac:dyDescent="0.2">
      <c r="B28" s="3" t="s">
        <v>47</v>
      </c>
      <c r="C28" s="4"/>
      <c r="D28" s="33"/>
    </row>
    <row r="29" spans="2:6" x14ac:dyDescent="0.2">
      <c r="B29" s="3" t="s">
        <v>50</v>
      </c>
      <c r="C29" s="4"/>
      <c r="D29" s="33"/>
    </row>
    <row r="30" spans="2:6" x14ac:dyDescent="0.2">
      <c r="B30" s="1" t="s">
        <v>18</v>
      </c>
      <c r="C30" s="2">
        <f>SUM(C10:C29)</f>
        <v>4000</v>
      </c>
      <c r="D30" s="34">
        <f>SUM(D10:D20)+D24+D25+D26+D27+D28+D29</f>
        <v>9.766990291262136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>C37/$F$2</f>
        <v>0</v>
      </c>
    </row>
    <row r="38" spans="2:4" x14ac:dyDescent="0.2">
      <c r="B38" s="3" t="s">
        <v>93</v>
      </c>
      <c r="C38" s="4">
        <v>2000</v>
      </c>
      <c r="D38" s="4">
        <f>C38/$F$2</f>
        <v>3.883495145631068</v>
      </c>
    </row>
    <row r="39" spans="2:4" x14ac:dyDescent="0.2">
      <c r="B39" s="3" t="s">
        <v>94</v>
      </c>
      <c r="C39" s="4"/>
      <c r="D39" s="4">
        <f>C39/$F$2</f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J49"/>
  <sheetViews>
    <sheetView topLeftCell="E1" zoomScale="70" zoomScaleNormal="70" workbookViewId="0">
      <selection activeCell="J24" sqref="J2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  <col min="9" max="9" width="12.83203125" bestFit="1" customWidth="1"/>
  </cols>
  <sheetData>
    <row r="1" spans="2:10" x14ac:dyDescent="0.2">
      <c r="B1" t="s">
        <v>137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141</v>
      </c>
      <c r="G4" s="4">
        <v>37600</v>
      </c>
      <c r="H4" s="4">
        <v>0</v>
      </c>
      <c r="I4" s="4">
        <f>+C4+E5+F5+G4+H4+D5</f>
        <v>110215</v>
      </c>
      <c r="J4" s="3">
        <f>+I4/F2</f>
        <v>214.00970873786409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72615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110215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  <c r="J9">
        <f>J4-5</f>
        <v>209.00970873786409</v>
      </c>
    </row>
    <row r="10" spans="2:10" x14ac:dyDescent="0.2">
      <c r="B10" s="3" t="s">
        <v>2</v>
      </c>
      <c r="C10" s="4">
        <f>+C48</f>
        <v>4000</v>
      </c>
      <c r="D10" s="4">
        <f>+D48</f>
        <v>12.766990291262136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10" x14ac:dyDescent="0.2">
      <c r="B17" s="3" t="s">
        <v>6</v>
      </c>
      <c r="C17" s="4"/>
      <c r="D17" s="33"/>
      <c r="J17">
        <f>33100/F2</f>
        <v>64.271844660194176</v>
      </c>
    </row>
    <row r="18" spans="2:10" x14ac:dyDescent="0.2">
      <c r="B18" s="3" t="s">
        <v>83</v>
      </c>
      <c r="C18" s="4"/>
      <c r="D18" s="33"/>
    </row>
    <row r="19" spans="2:10" x14ac:dyDescent="0.2">
      <c r="B19" s="3" t="s">
        <v>8</v>
      </c>
      <c r="C19" s="4"/>
      <c r="D19" s="33"/>
    </row>
    <row r="20" spans="2:10" x14ac:dyDescent="0.2">
      <c r="B20" s="3" t="s">
        <v>9</v>
      </c>
      <c r="C20" s="4">
        <f>C21+C22+C23</f>
        <v>0</v>
      </c>
      <c r="D20" s="33">
        <f>D21+D22+D23</f>
        <v>0</v>
      </c>
    </row>
    <row r="21" spans="2:10" x14ac:dyDescent="0.2">
      <c r="B21" s="30" t="s">
        <v>98</v>
      </c>
      <c r="C21" s="4"/>
      <c r="D21" s="33"/>
    </row>
    <row r="22" spans="2:10" x14ac:dyDescent="0.2">
      <c r="B22" s="30" t="s">
        <v>99</v>
      </c>
      <c r="C22" s="4"/>
      <c r="D22" s="33"/>
    </row>
    <row r="23" spans="2:10" x14ac:dyDescent="0.2">
      <c r="B23" s="30" t="s">
        <v>100</v>
      </c>
      <c r="C23" s="4"/>
      <c r="D23" s="33"/>
    </row>
    <row r="24" spans="2:10" x14ac:dyDescent="0.2">
      <c r="B24" s="3" t="s">
        <v>10</v>
      </c>
      <c r="C24" s="4"/>
      <c r="D24" s="33"/>
      <c r="J24">
        <f>141-5</f>
        <v>136</v>
      </c>
    </row>
    <row r="25" spans="2:10" x14ac:dyDescent="0.2">
      <c r="B25" s="3" t="s">
        <v>11</v>
      </c>
      <c r="C25" s="4"/>
      <c r="D25" s="33"/>
    </row>
    <row r="26" spans="2:10" x14ac:dyDescent="0.2">
      <c r="B26" s="3" t="s">
        <v>23</v>
      </c>
      <c r="C26" s="4"/>
      <c r="D26" s="33"/>
    </row>
    <row r="27" spans="2:10" x14ac:dyDescent="0.2">
      <c r="B27" s="3" t="s">
        <v>7</v>
      </c>
      <c r="C27" s="4"/>
      <c r="D27" s="33"/>
    </row>
    <row r="28" spans="2:10" x14ac:dyDescent="0.2">
      <c r="B28" s="3" t="s">
        <v>47</v>
      </c>
      <c r="C28" s="4"/>
      <c r="D28" s="33"/>
    </row>
    <row r="29" spans="2:10" x14ac:dyDescent="0.2">
      <c r="B29" s="3" t="s">
        <v>50</v>
      </c>
      <c r="C29" s="4"/>
      <c r="D29" s="33"/>
    </row>
    <row r="30" spans="2:10" x14ac:dyDescent="0.2">
      <c r="B30" s="1" t="s">
        <v>18</v>
      </c>
      <c r="C30" s="2">
        <f>SUM(C10:C29)</f>
        <v>4000</v>
      </c>
      <c r="D30" s="34">
        <f>SUM(D10:D20)+D24+D25+D26+D27+D28+D29</f>
        <v>12.766990291262136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>C35/F2</f>
        <v>3.883495145631068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ref="D37:D39" si="0">C37/$F$2</f>
        <v>3.883495145631068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5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12.766990291262136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J49"/>
  <sheetViews>
    <sheetView zoomScale="70" zoomScaleNormal="70" workbookViewId="0">
      <selection activeCell="G48" sqref="G48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  <col min="9" max="9" width="12" bestFit="1" customWidth="1"/>
  </cols>
  <sheetData>
    <row r="1" spans="2:10" x14ac:dyDescent="0.2">
      <c r="B1" t="s">
        <v>138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30</v>
      </c>
      <c r="G4" s="4">
        <v>0</v>
      </c>
      <c r="H4" s="4">
        <v>0</v>
      </c>
      <c r="I4" s="4">
        <f>+C4+E5+F5+G4+H4+D5</f>
        <v>15450</v>
      </c>
      <c r="J4" s="3">
        <f>+I4/F2</f>
        <v>30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15450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15450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8.766990291262136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" t="s">
        <v>98</v>
      </c>
      <c r="C21" s="4"/>
      <c r="D21" s="33"/>
    </row>
    <row r="22" spans="2:4" x14ac:dyDescent="0.2">
      <c r="B22" s="3" t="s">
        <v>99</v>
      </c>
      <c r="C22" s="4"/>
      <c r="D22" s="33"/>
    </row>
    <row r="23" spans="2:4" x14ac:dyDescent="0.2">
      <c r="B23" s="3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8.766990291262136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/>
      <c r="D34" s="4">
        <f>C34/$F$2</f>
        <v>0</v>
      </c>
    </row>
    <row r="35" spans="2:4" x14ac:dyDescent="0.2">
      <c r="B35" s="3" t="s">
        <v>91</v>
      </c>
      <c r="C35" s="4">
        <v>2000</v>
      </c>
      <c r="D35" s="4">
        <f t="shared" ref="D35:D39" si="0">C35/$F$2</f>
        <v>3.883495145631068</v>
      </c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>
        <v>2000</v>
      </c>
      <c r="D37" s="4">
        <f t="shared" si="0"/>
        <v>3.883495145631068</v>
      </c>
    </row>
    <row r="38" spans="2:4" x14ac:dyDescent="0.2">
      <c r="B38" s="3" t="s">
        <v>93</v>
      </c>
      <c r="C38" s="4"/>
      <c r="D38" s="4">
        <f t="shared" si="0"/>
        <v>0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1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8.766990291262136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J49"/>
  <sheetViews>
    <sheetView zoomScale="81" zoomScaleNormal="55" workbookViewId="0">
      <selection activeCell="G25" sqref="G25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139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85</v>
      </c>
      <c r="G4" s="4">
        <v>0</v>
      </c>
      <c r="H4" s="4">
        <v>0</v>
      </c>
      <c r="I4" s="4">
        <f>+C4+E5+F5+G4+H4+D5</f>
        <v>43775</v>
      </c>
      <c r="J4" s="3">
        <f>+I4/F2</f>
        <v>85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43775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43775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9.766990291262136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5" x14ac:dyDescent="0.2">
      <c r="B17" s="3" t="s">
        <v>6</v>
      </c>
      <c r="C17" s="4"/>
      <c r="D17" s="33"/>
    </row>
    <row r="18" spans="2:5" x14ac:dyDescent="0.2">
      <c r="B18" s="3" t="s">
        <v>83</v>
      </c>
      <c r="C18" s="4"/>
      <c r="D18" s="33"/>
    </row>
    <row r="19" spans="2:5" x14ac:dyDescent="0.2">
      <c r="B19" s="3" t="s">
        <v>8</v>
      </c>
      <c r="C19" s="4"/>
      <c r="D19" s="33"/>
    </row>
    <row r="20" spans="2:5" x14ac:dyDescent="0.2">
      <c r="B20" s="3" t="s">
        <v>9</v>
      </c>
      <c r="C20" s="4">
        <f>C21+C22+C23</f>
        <v>0</v>
      </c>
      <c r="D20" s="33">
        <f>D21+D22+D23</f>
        <v>0</v>
      </c>
    </row>
    <row r="21" spans="2:5" x14ac:dyDescent="0.2">
      <c r="B21" s="30" t="s">
        <v>98</v>
      </c>
      <c r="C21" s="4"/>
      <c r="D21" s="33"/>
    </row>
    <row r="22" spans="2:5" x14ac:dyDescent="0.2">
      <c r="B22" s="30" t="s">
        <v>99</v>
      </c>
      <c r="C22" s="4"/>
      <c r="D22" s="33"/>
    </row>
    <row r="23" spans="2:5" x14ac:dyDescent="0.2">
      <c r="B23" s="30" t="s">
        <v>100</v>
      </c>
      <c r="C23" s="4"/>
      <c r="D23" s="33"/>
    </row>
    <row r="24" spans="2:5" x14ac:dyDescent="0.2">
      <c r="B24" s="3" t="s">
        <v>10</v>
      </c>
      <c r="C24" s="4"/>
      <c r="D24" s="33"/>
    </row>
    <row r="25" spans="2:5" x14ac:dyDescent="0.2">
      <c r="B25" s="3" t="s">
        <v>11</v>
      </c>
      <c r="C25" s="4"/>
      <c r="D25" s="33"/>
    </row>
    <row r="26" spans="2:5" x14ac:dyDescent="0.2">
      <c r="B26" s="3" t="s">
        <v>23</v>
      </c>
      <c r="C26" s="4">
        <v>900</v>
      </c>
      <c r="D26" s="33">
        <f>52.5+C26/E2</f>
        <v>54.247572815533978</v>
      </c>
      <c r="E26" s="48" t="s">
        <v>143</v>
      </c>
    </row>
    <row r="27" spans="2:5" x14ac:dyDescent="0.2">
      <c r="B27" s="3" t="s">
        <v>7</v>
      </c>
      <c r="C27" s="4"/>
      <c r="D27" s="33"/>
    </row>
    <row r="28" spans="2:5" x14ac:dyDescent="0.2">
      <c r="B28" s="3" t="s">
        <v>47</v>
      </c>
      <c r="C28" s="4"/>
      <c r="D28" s="33"/>
    </row>
    <row r="29" spans="2:5" x14ac:dyDescent="0.2">
      <c r="B29" s="3" t="s">
        <v>50</v>
      </c>
      <c r="C29" s="4"/>
      <c r="D29" s="33"/>
    </row>
    <row r="30" spans="2:5" x14ac:dyDescent="0.2">
      <c r="B30" s="1" t="s">
        <v>18</v>
      </c>
      <c r="C30" s="2">
        <f>SUM(C10:C29)</f>
        <v>4900</v>
      </c>
      <c r="D30" s="34">
        <f>SUM(D10:D20)+D24+D25+D26+D27+D28+D29</f>
        <v>64.014563106796118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3.883495145631068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49"/>
  <sheetViews>
    <sheetView topLeftCell="C1" workbookViewId="0">
      <selection activeCell="J4" sqref="J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  <col min="10" max="10" width="11.5" bestFit="1" customWidth="1"/>
  </cols>
  <sheetData>
    <row r="1" spans="2:10" x14ac:dyDescent="0.2">
      <c r="B1" t="s">
        <v>140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f>116+11.17</f>
        <v>127.17</v>
      </c>
      <c r="G4" s="4">
        <v>28500</v>
      </c>
      <c r="H4" s="4">
        <v>0</v>
      </c>
      <c r="I4" s="4">
        <f>+C4+E5+F5+G4+H4+D5</f>
        <v>93992.55</v>
      </c>
      <c r="J4" s="49">
        <f>+I4/F2</f>
        <v>182.50980582524272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65492.55</v>
      </c>
      <c r="G5" s="16"/>
      <c r="I5" s="16"/>
    </row>
    <row r="6" spans="2:10" x14ac:dyDescent="0.2">
      <c r="I6" s="46"/>
      <c r="J6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93992.55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11.766990291262136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4" x14ac:dyDescent="0.2">
      <c r="B17" s="3" t="s">
        <v>6</v>
      </c>
      <c r="C17" s="4"/>
      <c r="D17" s="33"/>
    </row>
    <row r="18" spans="2:4" x14ac:dyDescent="0.2">
      <c r="B18" s="3" t="s">
        <v>83</v>
      </c>
      <c r="C18" s="4"/>
      <c r="D18" s="33"/>
    </row>
    <row r="19" spans="2:4" x14ac:dyDescent="0.2">
      <c r="B19" s="3" t="s">
        <v>8</v>
      </c>
      <c r="C19" s="4"/>
      <c r="D19" s="33"/>
    </row>
    <row r="20" spans="2:4" x14ac:dyDescent="0.2">
      <c r="B20" s="3" t="s">
        <v>9</v>
      </c>
      <c r="C20" s="4">
        <f>C21+C22+C23</f>
        <v>0</v>
      </c>
      <c r="D20" s="33">
        <f>D21+D22+D23</f>
        <v>0</v>
      </c>
    </row>
    <row r="21" spans="2:4" x14ac:dyDescent="0.2">
      <c r="B21" s="30" t="s">
        <v>98</v>
      </c>
      <c r="C21" s="4"/>
      <c r="D21" s="33"/>
    </row>
    <row r="22" spans="2:4" x14ac:dyDescent="0.2">
      <c r="B22" s="30" t="s">
        <v>99</v>
      </c>
      <c r="C22" s="4"/>
      <c r="D22" s="33"/>
    </row>
    <row r="23" spans="2:4" x14ac:dyDescent="0.2">
      <c r="B23" s="30" t="s">
        <v>100</v>
      </c>
      <c r="C23" s="4"/>
      <c r="D23" s="33"/>
    </row>
    <row r="24" spans="2:4" x14ac:dyDescent="0.2">
      <c r="B24" s="3" t="s">
        <v>10</v>
      </c>
      <c r="C24" s="4"/>
      <c r="D24" s="33"/>
    </row>
    <row r="25" spans="2:4" x14ac:dyDescent="0.2">
      <c r="B25" s="3" t="s">
        <v>11</v>
      </c>
      <c r="C25" s="4"/>
      <c r="D25" s="33"/>
    </row>
    <row r="26" spans="2:4" x14ac:dyDescent="0.2">
      <c r="B26" s="3" t="s">
        <v>23</v>
      </c>
      <c r="C26" s="4"/>
      <c r="D26" s="33"/>
    </row>
    <row r="27" spans="2:4" x14ac:dyDescent="0.2">
      <c r="B27" s="3" t="s">
        <v>7</v>
      </c>
      <c r="C27" s="4"/>
      <c r="D27" s="33"/>
    </row>
    <row r="28" spans="2:4" x14ac:dyDescent="0.2">
      <c r="B28" s="3" t="s">
        <v>47</v>
      </c>
      <c r="C28" s="4"/>
      <c r="D28" s="33"/>
    </row>
    <row r="29" spans="2:4" x14ac:dyDescent="0.2">
      <c r="B29" s="3" t="s">
        <v>50</v>
      </c>
      <c r="C29" s="4"/>
      <c r="D29" s="33"/>
    </row>
    <row r="30" spans="2:4" x14ac:dyDescent="0.2">
      <c r="B30" s="1" t="s">
        <v>18</v>
      </c>
      <c r="C30" s="2">
        <f>SUM(C10:C29)</f>
        <v>4000</v>
      </c>
      <c r="D30" s="34">
        <f>SUM(D10:D20)+D24+D25+D26+D27+D28+D29</f>
        <v>11.766990291262136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3.883495145631068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4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11.766990291262136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J49"/>
  <sheetViews>
    <sheetView topLeftCell="B1" workbookViewId="0">
      <selection activeCell="C39" sqref="C39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</cols>
  <sheetData>
    <row r="1" spans="2:10" x14ac:dyDescent="0.2">
      <c r="B1" t="s">
        <v>141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v>100</v>
      </c>
      <c r="G4" s="4">
        <v>0</v>
      </c>
      <c r="H4" s="4">
        <v>0</v>
      </c>
      <c r="I4" s="4">
        <f>+C4+E5+F5+G4+H4+D5</f>
        <v>51500</v>
      </c>
      <c r="J4" s="3">
        <f>+I4/F2</f>
        <v>100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51500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51500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9.766990291262136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0" t="s">
        <v>102</v>
      </c>
      <c r="C13" s="4"/>
      <c r="D13" s="33"/>
    </row>
    <row r="14" spans="2:10" x14ac:dyDescent="0.2">
      <c r="B14" s="30" t="s">
        <v>103</v>
      </c>
      <c r="C14" s="4"/>
      <c r="D14" s="33"/>
    </row>
    <row r="15" spans="2:10" x14ac:dyDescent="0.2">
      <c r="B15" s="30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6" x14ac:dyDescent="0.2">
      <c r="B17" s="3" t="s">
        <v>6</v>
      </c>
      <c r="C17" s="4"/>
      <c r="D17" s="33"/>
    </row>
    <row r="18" spans="2:6" x14ac:dyDescent="0.2">
      <c r="B18" s="3" t="s">
        <v>83</v>
      </c>
      <c r="C18" s="4"/>
      <c r="D18" s="33"/>
    </row>
    <row r="19" spans="2:6" x14ac:dyDescent="0.2">
      <c r="B19" s="3" t="s">
        <v>8</v>
      </c>
      <c r="C19" s="4"/>
      <c r="D19" s="33"/>
    </row>
    <row r="20" spans="2:6" x14ac:dyDescent="0.2">
      <c r="B20" s="3" t="s">
        <v>9</v>
      </c>
      <c r="C20" s="4">
        <f>C21+C22+C23</f>
        <v>0</v>
      </c>
      <c r="D20" s="33">
        <f>D21+D22+D23</f>
        <v>0</v>
      </c>
    </row>
    <row r="21" spans="2:6" x14ac:dyDescent="0.2">
      <c r="B21" s="30" t="s">
        <v>98</v>
      </c>
      <c r="C21" s="4"/>
      <c r="D21" s="33"/>
    </row>
    <row r="22" spans="2:6" x14ac:dyDescent="0.2">
      <c r="B22" s="30" t="s">
        <v>99</v>
      </c>
      <c r="C22" s="4"/>
      <c r="D22" s="33"/>
    </row>
    <row r="23" spans="2:6" x14ac:dyDescent="0.2">
      <c r="B23" s="30" t="s">
        <v>100</v>
      </c>
      <c r="C23" s="4"/>
      <c r="D23" s="33"/>
    </row>
    <row r="24" spans="2:6" x14ac:dyDescent="0.2">
      <c r="B24" s="3" t="s">
        <v>10</v>
      </c>
      <c r="C24" s="4"/>
      <c r="D24" s="33"/>
    </row>
    <row r="25" spans="2:6" x14ac:dyDescent="0.2">
      <c r="B25" s="3" t="s">
        <v>11</v>
      </c>
      <c r="C25" s="4"/>
      <c r="D25" s="33"/>
    </row>
    <row r="26" spans="2:6" x14ac:dyDescent="0.2">
      <c r="B26" s="3" t="s">
        <v>23</v>
      </c>
      <c r="C26" s="4"/>
      <c r="D26" s="33"/>
    </row>
    <row r="27" spans="2:6" x14ac:dyDescent="0.2">
      <c r="B27" s="3" t="s">
        <v>7</v>
      </c>
      <c r="C27" s="4"/>
      <c r="D27" s="33"/>
      <c r="F27" s="50"/>
    </row>
    <row r="28" spans="2:6" x14ac:dyDescent="0.2">
      <c r="B28" s="3" t="s">
        <v>47</v>
      </c>
      <c r="C28" s="4"/>
      <c r="D28" s="33"/>
    </row>
    <row r="29" spans="2:6" x14ac:dyDescent="0.2">
      <c r="B29" s="3" t="s">
        <v>50</v>
      </c>
      <c r="C29" s="4"/>
      <c r="D29" s="33"/>
    </row>
    <row r="30" spans="2:6" x14ac:dyDescent="0.2">
      <c r="B30" s="1" t="s">
        <v>18</v>
      </c>
      <c r="C30" s="2">
        <f>SUM(C10:C29)</f>
        <v>4000</v>
      </c>
      <c r="D30" s="34">
        <f>SUM(D10:D20)+D24+D25+D26+D27+D28+D29</f>
        <v>9.766990291262136</v>
      </c>
    </row>
    <row r="33" spans="2:4" x14ac:dyDescent="0.2">
      <c r="B33" s="31" t="s">
        <v>2</v>
      </c>
      <c r="C33" s="5" t="s">
        <v>101</v>
      </c>
      <c r="D33" s="5" t="s">
        <v>14</v>
      </c>
    </row>
    <row r="34" spans="2:4" x14ac:dyDescent="0.2">
      <c r="B34" s="3" t="s">
        <v>90</v>
      </c>
      <c r="C34" s="32">
        <v>2000</v>
      </c>
      <c r="D34" s="4">
        <f>C34/$F$2</f>
        <v>3.883495145631068</v>
      </c>
    </row>
    <row r="35" spans="2:4" x14ac:dyDescent="0.2">
      <c r="B35" s="3" t="s">
        <v>91</v>
      </c>
      <c r="C35" s="4"/>
      <c r="D35" s="4"/>
    </row>
    <row r="36" spans="2:4" x14ac:dyDescent="0.2">
      <c r="B36" s="3" t="s">
        <v>92</v>
      </c>
      <c r="C36" s="4"/>
      <c r="D36" s="4"/>
    </row>
    <row r="37" spans="2:4" x14ac:dyDescent="0.2">
      <c r="B37" s="3" t="s">
        <v>97</v>
      </c>
      <c r="C37" s="4"/>
      <c r="D37" s="4">
        <f t="shared" ref="D37:D39" si="0">C37/$F$2</f>
        <v>0</v>
      </c>
    </row>
    <row r="38" spans="2:4" x14ac:dyDescent="0.2">
      <c r="B38" s="3" t="s">
        <v>93</v>
      </c>
      <c r="C38" s="4">
        <v>2000</v>
      </c>
      <c r="D38" s="4">
        <f t="shared" si="0"/>
        <v>3.883495145631068</v>
      </c>
    </row>
    <row r="39" spans="2:4" x14ac:dyDescent="0.2">
      <c r="B39" s="3" t="s">
        <v>94</v>
      </c>
      <c r="C39" s="4"/>
      <c r="D39" s="4">
        <f t="shared" si="0"/>
        <v>0</v>
      </c>
    </row>
    <row r="40" spans="2:4" x14ac:dyDescent="0.2">
      <c r="B40" s="3" t="s">
        <v>95</v>
      </c>
      <c r="C40" s="4"/>
      <c r="D40" s="4"/>
    </row>
    <row r="41" spans="2:4" x14ac:dyDescent="0.2">
      <c r="B41" s="3" t="s">
        <v>96</v>
      </c>
      <c r="C41" s="4"/>
      <c r="D41" s="4"/>
    </row>
    <row r="42" spans="2:4" x14ac:dyDescent="0.2">
      <c r="B42" s="3"/>
      <c r="C42" s="4"/>
      <c r="D42" s="3"/>
    </row>
    <row r="43" spans="2:4" x14ac:dyDescent="0.2">
      <c r="B43" s="25">
        <v>0.02</v>
      </c>
      <c r="C43" s="4"/>
      <c r="D43" s="29">
        <f>ROUNDUP(J4*0.02,0)</f>
        <v>2</v>
      </c>
    </row>
    <row r="44" spans="2:4" x14ac:dyDescent="0.2">
      <c r="B44" s="3"/>
      <c r="C44" s="4"/>
      <c r="D44" s="3"/>
    </row>
    <row r="45" spans="2:4" x14ac:dyDescent="0.2">
      <c r="B45" s="3"/>
      <c r="C45" s="4"/>
      <c r="D45" s="3"/>
    </row>
    <row r="46" spans="2:4" x14ac:dyDescent="0.2">
      <c r="B46" s="3"/>
      <c r="C46" s="4"/>
      <c r="D46" s="3"/>
    </row>
    <row r="47" spans="2:4" x14ac:dyDescent="0.2">
      <c r="B47" s="3"/>
      <c r="C47" s="4"/>
      <c r="D47" s="3"/>
    </row>
    <row r="48" spans="2:4" x14ac:dyDescent="0.2">
      <c r="B48" s="1" t="s">
        <v>19</v>
      </c>
      <c r="C48" s="2">
        <f>SUM(C34:C47)</f>
        <v>4000</v>
      </c>
      <c r="D48" s="2">
        <f>SUM(D34:D47)</f>
        <v>9.766990291262136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J49"/>
  <sheetViews>
    <sheetView zoomScale="94" workbookViewId="0">
      <selection activeCell="J4" sqref="J4"/>
    </sheetView>
  </sheetViews>
  <sheetFormatPr baseColWidth="10" defaultColWidth="11.33203125" defaultRowHeight="15" x14ac:dyDescent="0.2"/>
  <cols>
    <col min="2" max="2" width="30.33203125" customWidth="1"/>
    <col min="3" max="3" width="21.33203125" customWidth="1"/>
    <col min="4" max="4" width="21" customWidth="1"/>
    <col min="5" max="6" width="15.6640625" customWidth="1"/>
    <col min="7" max="7" width="18.83203125" customWidth="1"/>
    <col min="8" max="8" width="37.83203125" customWidth="1"/>
    <col min="9" max="9" width="11.83203125" bestFit="1" customWidth="1"/>
  </cols>
  <sheetData>
    <row r="1" spans="2:10" x14ac:dyDescent="0.2">
      <c r="B1" t="s">
        <v>142</v>
      </c>
    </row>
    <row r="2" spans="2:10" x14ac:dyDescent="0.2">
      <c r="D2">
        <v>515</v>
      </c>
      <c r="E2">
        <v>515</v>
      </c>
      <c r="F2">
        <v>515</v>
      </c>
    </row>
    <row r="3" spans="2:10" x14ac:dyDescent="0.2">
      <c r="B3" s="57" t="s">
        <v>12</v>
      </c>
      <c r="C3" s="14" t="s">
        <v>21</v>
      </c>
      <c r="D3" s="10" t="s">
        <v>88</v>
      </c>
      <c r="E3" s="8" t="s">
        <v>13</v>
      </c>
      <c r="F3" s="8" t="s">
        <v>14</v>
      </c>
      <c r="G3" s="9" t="s">
        <v>15</v>
      </c>
      <c r="H3" s="13" t="s">
        <v>114</v>
      </c>
      <c r="I3" s="10" t="s">
        <v>16</v>
      </c>
      <c r="J3" s="10" t="s">
        <v>89</v>
      </c>
    </row>
    <row r="4" spans="2:10" x14ac:dyDescent="0.2">
      <c r="B4" s="58"/>
      <c r="C4" s="15">
        <f>H9+H10</f>
        <v>0</v>
      </c>
      <c r="D4" s="15">
        <v>0</v>
      </c>
      <c r="E4" s="4">
        <v>0</v>
      </c>
      <c r="F4" s="4">
        <f>455+10</f>
        <v>465</v>
      </c>
      <c r="G4" s="4">
        <f>18148+4000</f>
        <v>22148</v>
      </c>
      <c r="H4" s="4">
        <v>0</v>
      </c>
      <c r="I4" s="4">
        <f>+C4+E5+F5+G4+H4+D5</f>
        <v>261623</v>
      </c>
      <c r="J4" s="3">
        <f>+I4/F2</f>
        <v>508.00582524271846</v>
      </c>
    </row>
    <row r="5" spans="2:10" x14ac:dyDescent="0.2">
      <c r="B5" s="59"/>
      <c r="C5" s="16"/>
      <c r="D5" s="4">
        <f>+D4*D2</f>
        <v>0</v>
      </c>
      <c r="E5" s="4">
        <f>+E4*E2</f>
        <v>0</v>
      </c>
      <c r="F5" s="4">
        <f>+F4*F2</f>
        <v>239475</v>
      </c>
      <c r="G5" s="16"/>
      <c r="I5" s="16"/>
    </row>
    <row r="7" spans="2:10" x14ac:dyDescent="0.2">
      <c r="B7" s="55" t="s">
        <v>17</v>
      </c>
      <c r="C7" s="56"/>
    </row>
    <row r="8" spans="2:10" x14ac:dyDescent="0.2">
      <c r="B8" s="1" t="s">
        <v>0</v>
      </c>
      <c r="C8" s="2">
        <f>+I4</f>
        <v>261623</v>
      </c>
      <c r="G8" t="s">
        <v>105</v>
      </c>
    </row>
    <row r="9" spans="2:10" x14ac:dyDescent="0.2">
      <c r="B9" s="31" t="s">
        <v>1</v>
      </c>
      <c r="C9" s="5" t="s">
        <v>101</v>
      </c>
      <c r="D9" s="5" t="s">
        <v>14</v>
      </c>
      <c r="G9">
        <v>2236</v>
      </c>
    </row>
    <row r="10" spans="2:10" x14ac:dyDescent="0.2">
      <c r="B10" s="3" t="s">
        <v>2</v>
      </c>
      <c r="C10" s="4">
        <f>+C48</f>
        <v>4000</v>
      </c>
      <c r="D10" s="4">
        <f>+D48</f>
        <v>17.766990291262136</v>
      </c>
      <c r="G10">
        <v>4910</v>
      </c>
    </row>
    <row r="11" spans="2:10" x14ac:dyDescent="0.2">
      <c r="B11" s="3" t="s">
        <v>3</v>
      </c>
      <c r="C11" s="4"/>
      <c r="D11" s="33"/>
    </row>
    <row r="12" spans="2:10" x14ac:dyDescent="0.2">
      <c r="B12" s="3" t="s">
        <v>4</v>
      </c>
      <c r="C12" s="4"/>
      <c r="D12" s="33"/>
    </row>
    <row r="13" spans="2:10" x14ac:dyDescent="0.2">
      <c r="B13" s="3" t="s">
        <v>102</v>
      </c>
      <c r="C13" s="4"/>
      <c r="D13" s="33"/>
    </row>
    <row r="14" spans="2:10" x14ac:dyDescent="0.2">
      <c r="B14" s="3" t="s">
        <v>103</v>
      </c>
      <c r="C14" s="4"/>
      <c r="D14" s="33"/>
    </row>
    <row r="15" spans="2:10" x14ac:dyDescent="0.2">
      <c r="B15" s="3" t="s">
        <v>104</v>
      </c>
      <c r="C15" s="4"/>
      <c r="D15" s="33"/>
    </row>
    <row r="16" spans="2:10" x14ac:dyDescent="0.2">
      <c r="B16" s="3" t="s">
        <v>5</v>
      </c>
      <c r="C16" s="4"/>
      <c r="D16" s="33"/>
    </row>
    <row r="17" spans="2:7" x14ac:dyDescent="0.2">
      <c r="B17" s="3" t="s">
        <v>6</v>
      </c>
      <c r="C17" s="4"/>
      <c r="D17" s="33"/>
    </row>
    <row r="18" spans="2:7" x14ac:dyDescent="0.2">
      <c r="B18" s="3" t="s">
        <v>83</v>
      </c>
      <c r="C18" s="4"/>
      <c r="D18" s="33"/>
    </row>
    <row r="19" spans="2:7" x14ac:dyDescent="0.2">
      <c r="B19" s="3" t="s">
        <v>8</v>
      </c>
      <c r="C19" s="4"/>
      <c r="D19" s="33"/>
    </row>
    <row r="20" spans="2:7" x14ac:dyDescent="0.2">
      <c r="B20" s="3" t="s">
        <v>9</v>
      </c>
      <c r="C20" s="4">
        <f>C21+C22+C23</f>
        <v>0</v>
      </c>
      <c r="D20" s="33">
        <f>D21+D22+D23</f>
        <v>0</v>
      </c>
      <c r="G20" t="s">
        <v>144</v>
      </c>
    </row>
    <row r="21" spans="2:7" x14ac:dyDescent="0.2">
      <c r="B21" s="3" t="s">
        <v>98</v>
      </c>
      <c r="C21" s="4"/>
      <c r="D21" s="33"/>
    </row>
    <row r="22" spans="2:7" x14ac:dyDescent="0.2">
      <c r="B22" s="3" t="s">
        <v>99</v>
      </c>
      <c r="C22" s="4"/>
      <c r="D22" s="33"/>
    </row>
    <row r="23" spans="2:7" x14ac:dyDescent="0.2">
      <c r="B23" s="3" t="s">
        <v>100</v>
      </c>
      <c r="C23" s="4"/>
      <c r="D23" s="33"/>
    </row>
    <row r="24" spans="2:7" x14ac:dyDescent="0.2">
      <c r="B24" s="3" t="s">
        <v>10</v>
      </c>
      <c r="C24" s="4"/>
      <c r="D24" s="33"/>
    </row>
    <row r="25" spans="2:7" x14ac:dyDescent="0.2">
      <c r="B25" s="3" t="s">
        <v>11</v>
      </c>
      <c r="C25" s="4"/>
      <c r="D25" s="33"/>
    </row>
    <row r="26" spans="2:7" x14ac:dyDescent="0.2">
      <c r="B26" s="3" t="s">
        <v>23</v>
      </c>
      <c r="C26" s="4"/>
      <c r="D26" s="33"/>
    </row>
    <row r="27" spans="2:7" x14ac:dyDescent="0.2">
      <c r="B27" s="3" t="s">
        <v>7</v>
      </c>
      <c r="C27" s="4"/>
      <c r="D27" s="33"/>
      <c r="F27" s="50"/>
    </row>
    <row r="28" spans="2:7" x14ac:dyDescent="0.2">
      <c r="B28" s="3" t="s">
        <v>47</v>
      </c>
      <c r="C28" s="4"/>
      <c r="D28" s="33"/>
    </row>
    <row r="29" spans="2:7" x14ac:dyDescent="0.2">
      <c r="B29" s="3" t="s">
        <v>50</v>
      </c>
      <c r="C29" s="4"/>
      <c r="D29" s="33"/>
    </row>
    <row r="30" spans="2:7" x14ac:dyDescent="0.2">
      <c r="B30" s="1" t="s">
        <v>18</v>
      </c>
      <c r="C30" s="2">
        <f>SUM(C10:C29)</f>
        <v>4000</v>
      </c>
      <c r="D30" s="34">
        <f>SUM(D10:D20)+D24+D25+D26+D27+D28+D29</f>
        <v>17.766990291262136</v>
      </c>
    </row>
    <row r="33" spans="2:6" x14ac:dyDescent="0.2">
      <c r="B33" s="31" t="s">
        <v>2</v>
      </c>
      <c r="C33" s="5" t="s">
        <v>101</v>
      </c>
      <c r="D33" s="5" t="s">
        <v>14</v>
      </c>
    </row>
    <row r="34" spans="2:6" x14ac:dyDescent="0.2">
      <c r="B34" s="3" t="s">
        <v>90</v>
      </c>
      <c r="C34" s="32"/>
      <c r="D34" s="4">
        <f>C34/$F$2</f>
        <v>0</v>
      </c>
    </row>
    <row r="35" spans="2:6" x14ac:dyDescent="0.2">
      <c r="B35" s="3" t="s">
        <v>91</v>
      </c>
      <c r="C35" s="4">
        <v>2000</v>
      </c>
      <c r="D35" s="4">
        <f t="shared" ref="D35:D39" si="0">C35/$F$2</f>
        <v>3.883495145631068</v>
      </c>
    </row>
    <row r="36" spans="2:6" x14ac:dyDescent="0.2">
      <c r="B36" s="3" t="s">
        <v>92</v>
      </c>
      <c r="C36" s="4"/>
      <c r="D36" s="4"/>
    </row>
    <row r="37" spans="2:6" x14ac:dyDescent="0.2">
      <c r="B37" s="3" t="s">
        <v>97</v>
      </c>
      <c r="C37" s="4"/>
      <c r="D37" s="4">
        <f t="shared" si="0"/>
        <v>0</v>
      </c>
    </row>
    <row r="38" spans="2:6" x14ac:dyDescent="0.2">
      <c r="B38" s="3" t="s">
        <v>93</v>
      </c>
      <c r="C38" s="4">
        <v>2000</v>
      </c>
      <c r="D38" s="4">
        <f t="shared" si="0"/>
        <v>3.883495145631068</v>
      </c>
    </row>
    <row r="39" spans="2:6" x14ac:dyDescent="0.2">
      <c r="B39" s="3" t="s">
        <v>94</v>
      </c>
      <c r="C39" s="4"/>
      <c r="D39" s="4">
        <f t="shared" si="0"/>
        <v>0</v>
      </c>
    </row>
    <row r="40" spans="2:6" x14ac:dyDescent="0.2">
      <c r="B40" s="3" t="s">
        <v>95</v>
      </c>
      <c r="C40" s="4"/>
      <c r="D40" s="4"/>
    </row>
    <row r="41" spans="2:6" x14ac:dyDescent="0.2">
      <c r="B41" s="3" t="s">
        <v>96</v>
      </c>
      <c r="C41" s="4"/>
      <c r="D41" s="4"/>
    </row>
    <row r="42" spans="2:6" x14ac:dyDescent="0.2">
      <c r="B42" s="3"/>
      <c r="C42" s="4"/>
      <c r="D42" s="3"/>
    </row>
    <row r="43" spans="2:6" x14ac:dyDescent="0.2">
      <c r="B43" s="25">
        <v>0.02</v>
      </c>
      <c r="C43" s="4"/>
      <c r="D43" s="29">
        <f>ROUND(J4*0.02,0)</f>
        <v>10</v>
      </c>
    </row>
    <row r="44" spans="2:6" x14ac:dyDescent="0.2">
      <c r="B44" s="3"/>
      <c r="C44" s="4"/>
      <c r="D44" s="3"/>
    </row>
    <row r="45" spans="2:6" x14ac:dyDescent="0.2">
      <c r="B45" s="3"/>
      <c r="C45" s="4"/>
      <c r="D45" s="3"/>
    </row>
    <row r="46" spans="2:6" x14ac:dyDescent="0.2">
      <c r="B46" s="3"/>
      <c r="C46" s="4"/>
      <c r="D46" s="3"/>
    </row>
    <row r="47" spans="2:6" x14ac:dyDescent="0.2">
      <c r="B47" s="3"/>
      <c r="C47" s="4"/>
      <c r="D47" s="3"/>
    </row>
    <row r="48" spans="2:6" x14ac:dyDescent="0.2">
      <c r="B48" s="1" t="s">
        <v>19</v>
      </c>
      <c r="C48" s="2">
        <f>SUM(C34:C47)</f>
        <v>4000</v>
      </c>
      <c r="D48" s="2">
        <f>SUM(D34:D47)</f>
        <v>17.766990291262136</v>
      </c>
      <c r="F48" t="s">
        <v>144</v>
      </c>
    </row>
    <row r="49" spans="2:3" x14ac:dyDescent="0.2">
      <c r="B49" s="11"/>
      <c r="C49" s="12"/>
    </row>
  </sheetData>
  <mergeCells count="2">
    <mergeCell ref="B3:B5"/>
    <mergeCell ref="B7:C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3:K34"/>
  <sheetViews>
    <sheetView topLeftCell="A2" workbookViewId="0">
      <selection activeCell="C6" sqref="C6"/>
    </sheetView>
  </sheetViews>
  <sheetFormatPr baseColWidth="10" defaultColWidth="11.33203125" defaultRowHeight="15" x14ac:dyDescent="0.2"/>
  <cols>
    <col min="2" max="2" width="52.5" customWidth="1"/>
    <col min="3" max="4" width="19.33203125" customWidth="1"/>
    <col min="5" max="5" width="18.83203125" customWidth="1"/>
    <col min="7" max="7" width="12.6640625" bestFit="1" customWidth="1"/>
  </cols>
  <sheetData>
    <row r="3" spans="2:11" x14ac:dyDescent="0.2">
      <c r="B3" t="s">
        <v>145</v>
      </c>
    </row>
    <row r="6" spans="2:11" x14ac:dyDescent="0.2">
      <c r="B6" s="1" t="s">
        <v>109</v>
      </c>
      <c r="C6" s="2">
        <f>+Ventas!J35</f>
        <v>4159309.55</v>
      </c>
      <c r="D6" s="2">
        <f>+Ventas!K35</f>
        <v>8127.2583184039368</v>
      </c>
      <c r="G6" s="16">
        <f>C6*0.042</f>
        <v>174691.00109999999</v>
      </c>
    </row>
    <row r="7" spans="2:11" x14ac:dyDescent="0.2">
      <c r="B7" s="5" t="s">
        <v>1</v>
      </c>
      <c r="C7" s="6" t="s">
        <v>101</v>
      </c>
      <c r="D7" s="6" t="s">
        <v>14</v>
      </c>
      <c r="E7" s="5" t="s">
        <v>35</v>
      </c>
      <c r="G7" s="16">
        <f>G6*0.1</f>
        <v>17469.100109999999</v>
      </c>
    </row>
    <row r="8" spans="2:11" x14ac:dyDescent="0.2">
      <c r="B8" s="3" t="s">
        <v>2</v>
      </c>
      <c r="C8" s="4">
        <f>+'Dia 1'!C10+'Dia 2'!C10+'Dia 3'!C10+'Dia 4'!C10+'Dia 5'!C10+'Dia 6'!C10+'Dia 7'!C10+'Dia 8'!C10+'Dia 9'!C10+'Dia 10'!C10+'Dia 11'!C10+'Dia 12'!C10+'Dia 13'!C10+'Dia 14'!C10+'Dia 15'!C10+'Dia 16'!C10+'Dia 17'!C10+'Dia 18'!C10+'Dia 19'!C10+'Dia 20'!C10+'Dia 21'!C10+'Dia 22'!C10+'Dia 23'!C10+'Dia 25'!C10+'Dia 25'!C10+'Dia 26'!C10+'Dia 27'!C10+'Dia 28'!C10+'Dia 29'!C10+'Dia 30'!C10+'Dia 31'!C10</f>
        <v>120000</v>
      </c>
      <c r="D8" s="4">
        <f>+'Dia 1'!D10+'Dia 2'!D10+'Dia 3'!D10+'Dia 4'!D10+'Dia 5'!D10+'Dia 6'!D10+'Dia 7'!D10+'Dia 8'!D10+'Dia 9'!D10+'Dia 10'!D10+'Dia 11'!D10+'Dia 12'!D10+'Dia 13'!D10+'Dia 14'!D10+'Dia 15'!D10+'Dia 16'!D10+'Dia 17'!D10+'Dia 18'!D10+'Dia 19'!D10+'Dia 20'!D10+'Dia 21'!D10+'Dia 22'!D10+'Dia 23'!D10+'Dia 25'!D10+'Dia 25'!D10+'Dia 26'!D10+'Dia 27'!D10+'Dia 28'!D10+'Dia 29'!D10+'Dia 30'!D10+'Dia 31'!D10</f>
        <v>468.18565436204312</v>
      </c>
      <c r="E8" s="7">
        <f>D8/$D$29</f>
        <v>0.51857228748925011</v>
      </c>
      <c r="G8">
        <f>(G6-3260)*0.05</f>
        <v>8571.5500549999997</v>
      </c>
    </row>
    <row r="9" spans="2:11" x14ac:dyDescent="0.2">
      <c r="B9" s="3" t="s">
        <v>3</v>
      </c>
      <c r="C9" s="4">
        <f>+'Dia 1'!C11+'Dia 2'!C11+'Dia 3'!C11+'Dia 4'!C11+'Dia 5'!C11+'Dia 6'!C11+'Dia 7'!C11+'Dia 8'!C11+'Dia 9'!C11+'Dia 10'!C11+'Dia 11'!C11+'Dia 12'!C11+'Dia 13'!C11+'Dia 14'!C11+'Dia 15'!C11+'Dia 16'!C11+'Dia 17'!C11+'Dia 18'!C11+'Dia 19'!C11+'Dia 20'!C11+'Dia 21'!C11+'Dia 22'!C11+'Dia 23'!C11+'Dia 25'!C11+'Dia 25'!C11+'Dia 26'!C11+'Dia 27'!C11+'Dia 28'!C11+'Dia 29'!C11+'Dia 30'!C11+'Dia 31'!C11</f>
        <v>20000</v>
      </c>
      <c r="D9" s="4">
        <f>+'Dia 1'!D11+'Dia 2'!D11+'Dia 3'!D11+'Dia 4'!D11+'Dia 5'!D11+'Dia 6'!D11+'Dia 7'!D11+'Dia 8'!D11+'Dia 9'!D11+'Dia 10'!D11+'Dia 11'!D11+'Dia 12'!D11+'Dia 13'!D11+'Dia 14'!D11+'Dia 15'!D11+'Dia 16'!D11+'Dia 17'!D11+'Dia 18'!D11+'Dia 19'!D11+'Dia 20'!D11+'Dia 21'!D11+'Dia 22'!D11+'Dia 23'!D11+'Dia 25'!D11+'Dia 25'!D11+'Dia 26'!D11+'Dia 27'!D11+'Dia 28'!D11+'Dia 29'!D11+'Dia 30'!D11+'Dia 31'!D11</f>
        <v>99.215686274509807</v>
      </c>
      <c r="E9" s="7">
        <f t="shared" ref="E9:E29" si="0">D9/$D$29</f>
        <v>0.10989338290660695</v>
      </c>
    </row>
    <row r="10" spans="2:11" x14ac:dyDescent="0.2">
      <c r="B10" s="3" t="s">
        <v>4</v>
      </c>
      <c r="C10" s="4">
        <f>+'Dia 1'!C12+'Dia 2'!C12+'Dia 3'!C12+'Dia 4'!C12+'Dia 5'!C12+'Dia 6'!C12+'Dia 7'!C12+'Dia 8'!C12+'Dia 9'!C12+'Dia 10'!C12+'Dia 11'!C12+'Dia 12'!C12+'Dia 13'!C12+'Dia 14'!C12+'Dia 15'!C12+'Dia 16'!C12+'Dia 17'!C12+'Dia 18'!C12+'Dia 19'!C12+'Dia 20'!C12+'Dia 21'!C12+'Dia 22'!C12+'Dia 23'!C12+'Dia 25'!C12+'Dia 25'!C12+'Dia 26'!C12+'Dia 27'!C12+'Dia 28'!C12+'Dia 29'!C12+'Dia 30'!C12+'Dia 31'!C12</f>
        <v>0</v>
      </c>
      <c r="D10" s="4">
        <f>+'Dia 1'!D12+'Dia 2'!D12+'Dia 3'!D12+'Dia 4'!D12+'Dia 5'!D12+'Dia 6'!D12+'Dia 7'!D12+'Dia 8'!D12+'Dia 9'!D12+'Dia 10'!D12+'Dia 11'!D12+'Dia 12'!D12+'Dia 13'!D12+'Dia 14'!D12+'Dia 15'!D12+'Dia 16'!D12+'Dia 17'!D12+'Dia 18'!D12+'Dia 19'!D12+'Dia 20'!D12+'Dia 21'!D12+'Dia 22'!D12+'Dia 23'!D12+'Dia 25'!D12+'Dia 25'!D12+'Dia 26'!D12+'Dia 27'!D12+'Dia 28'!D12+'Dia 29'!D12+'Dia 30'!D12+'Dia 31'!D12</f>
        <v>0</v>
      </c>
      <c r="E10" s="35">
        <f t="shared" si="0"/>
        <v>0</v>
      </c>
    </row>
    <row r="11" spans="2:11" x14ac:dyDescent="0.2">
      <c r="B11" s="30" t="s">
        <v>102</v>
      </c>
      <c r="C11" s="4">
        <f>+'Dia 1'!C13+'Dia 2'!C13+'Dia 3'!C13+'Dia 4'!C13+'Dia 5'!C13+'Dia 6'!C13+'Dia 7'!C13+'Dia 8'!C13+'Dia 9'!C13+'Dia 10'!C13+'Dia 11'!C13+'Dia 12'!C13+'Dia 13'!C13+'Dia 14'!C13+'Dia 15'!C13+'Dia 16'!C13+'Dia 17'!C13+'Dia 18'!C13+'Dia 19'!C13+'Dia 20'!C13+'Dia 21'!C13+'Dia 22'!C13+'Dia 23'!C13+'Dia 25'!C13+'Dia 25'!C13+'Dia 26'!C13+'Dia 27'!C13+'Dia 28'!C13+'Dia 29'!C13+'Dia 30'!C13+'Dia 31'!C13</f>
        <v>0</v>
      </c>
      <c r="D11" s="4">
        <f>+'Dia 1'!D13+'Dia 2'!D13+'Dia 3'!D13+'Dia 4'!D13+'Dia 5'!D13+'Dia 6'!D13+'Dia 7'!D13+'Dia 8'!D13+'Dia 9'!D13+'Dia 10'!D13+'Dia 11'!D13+'Dia 12'!D13+'Dia 13'!D13+'Dia 14'!D13+'Dia 15'!D13+'Dia 16'!D13+'Dia 17'!D13+'Dia 18'!D13+'Dia 19'!D13+'Dia 20'!D13+'Dia 21'!D13+'Dia 22'!D13+'Dia 23'!D13+'Dia 25'!D13+'Dia 25'!D13+'Dia 26'!D13+'Dia 27'!D13+'Dia 28'!D13+'Dia 29'!D13+'Dia 30'!D13+'Dia 31'!D13</f>
        <v>213</v>
      </c>
      <c r="E11" s="7">
        <f t="shared" si="0"/>
        <v>0.2359232842913975</v>
      </c>
      <c r="I11" s="51"/>
      <c r="K11" s="16"/>
    </row>
    <row r="12" spans="2:11" x14ac:dyDescent="0.2">
      <c r="B12" s="30" t="s">
        <v>103</v>
      </c>
      <c r="C12" s="4">
        <f>+'Dia 1'!C14+'Dia 2'!C14+'Dia 3'!C14+'Dia 4'!C14+'Dia 5'!C14+'Dia 6'!C14+'Dia 7'!C14+'Dia 8'!C14+'Dia 9'!C14+'Dia 10'!C14+'Dia 11'!C14+'Dia 12'!C14+'Dia 13'!C14+'Dia 14'!C14+'Dia 15'!C14+'Dia 16'!C14+'Dia 17'!C14+'Dia 18'!C14+'Dia 19'!C14+'Dia 20'!C14+'Dia 21'!C14+'Dia 22'!C14+'Dia 23'!C14+'Dia 25'!C14+'Dia 25'!C14+'Dia 26'!C14+'Dia 27'!C14+'Dia 28'!C14+'Dia 29'!C14+'Dia 30'!C14+'Dia 31'!C14</f>
        <v>0</v>
      </c>
      <c r="D12" s="4">
        <f>+'Dia 1'!D14+'Dia 2'!D14+'Dia 3'!D14+'Dia 4'!D14+'Dia 5'!D14+'Dia 6'!D14+'Dia 7'!D14+'Dia 8'!D14+'Dia 9'!D14+'Dia 10'!D14+'Dia 11'!D14+'Dia 12'!D14+'Dia 13'!D14+'Dia 14'!D14+'Dia 15'!D14+'Dia 16'!D14+'Dia 17'!D14+'Dia 18'!D14+'Dia 19'!D14+'Dia 20'!D14+'Dia 21'!D14+'Dia 22'!D14+'Dia 23'!D14+'Dia 25'!D14+'Dia 25'!D14+'Dia 26'!D14+'Dia 27'!D14+'Dia 28'!D14+'Dia 29'!D14+'Dia 30'!D14+'Dia 31'!D14</f>
        <v>0</v>
      </c>
      <c r="E12" s="7">
        <f t="shared" si="0"/>
        <v>0</v>
      </c>
    </row>
    <row r="13" spans="2:11" x14ac:dyDescent="0.2">
      <c r="B13" s="30" t="s">
        <v>104</v>
      </c>
      <c r="C13" s="4">
        <f>+'Dia 1'!C15+'Dia 2'!C15+'Dia 3'!C15+'Dia 4'!C15+'Dia 5'!C15+'Dia 6'!C15+'Dia 7'!C15+'Dia 8'!C15+'Dia 9'!C15+'Dia 10'!C15+'Dia 11'!C15+'Dia 12'!C15+'Dia 13'!C15+'Dia 14'!C15+'Dia 15'!C15+'Dia 16'!C15+'Dia 17'!C15+'Dia 18'!C15+'Dia 19'!C15+'Dia 20'!C15+'Dia 21'!C15+'Dia 22'!C15+'Dia 23'!C15+'Dia 25'!C15+'Dia 25'!C15+'Dia 26'!C15+'Dia 27'!C15+'Dia 28'!C15+'Dia 29'!C15+'Dia 30'!C15+'Dia 31'!C15</f>
        <v>0</v>
      </c>
      <c r="D13" s="4">
        <f>+'Dia 1'!D15+'Dia 2'!D15+'Dia 3'!D15+'Dia 4'!D15+'Dia 5'!D15+'Dia 6'!D15+'Dia 7'!D15+'Dia 8'!D15+'Dia 9'!D15+'Dia 10'!D15+'Dia 11'!D15+'Dia 12'!D15+'Dia 13'!D15+'Dia 14'!D15+'Dia 15'!D15+'Dia 16'!D15+'Dia 17'!D15+'Dia 18'!D15+'Dia 19'!D15+'Dia 20'!D15+'Dia 21'!D15+'Dia 22'!D15+'Dia 23'!D15+'Dia 25'!D15+'Dia 25'!D15+'Dia 26'!D15+'Dia 27'!D15+'Dia 28'!D15+'Dia 29'!D15+'Dia 30'!D15+'Dia 31'!D15</f>
        <v>0</v>
      </c>
      <c r="E13" s="7">
        <f t="shared" si="0"/>
        <v>0</v>
      </c>
    </row>
    <row r="14" spans="2:11" x14ac:dyDescent="0.2">
      <c r="B14" s="3" t="s">
        <v>5</v>
      </c>
      <c r="C14" s="4">
        <f>+'Dia 1'!C16+'Dia 2'!C16+'Dia 3'!C16+'Dia 4'!C16+'Dia 5'!C16+'Dia 6'!C16+'Dia 7'!C16+'Dia 8'!C16+'Dia 9'!C16+'Dia 10'!C16+'Dia 11'!C16+'Dia 12'!C16+'Dia 13'!C16+'Dia 14'!C16+'Dia 15'!C16+'Dia 16'!C16+'Dia 17'!C16+'Dia 18'!C16+'Dia 19'!C16+'Dia 20'!C16+'Dia 21'!C16+'Dia 22'!C16+'Dia 23'!C16+'Dia 25'!C16+'Dia 25'!C16+'Dia 26'!C16+'Dia 27'!C16+'Dia 28'!C16+'Dia 29'!C16+'Dia 30'!C16+'Dia 31'!C16</f>
        <v>260.64</v>
      </c>
      <c r="D14" s="4">
        <f>+'Dia 1'!D16+'Dia 2'!D16+'Dia 3'!D16+'Dia 4'!D16+'Dia 5'!D16+'Dia 6'!D16+'Dia 7'!D16+'Dia 8'!D16+'Dia 9'!D16+'Dia 10'!D16+'Dia 11'!D16+'Dia 12'!D16+'Dia 13'!D16+'Dia 14'!D16+'Dia 15'!D16+'Dia 16'!D16+'Dia 17'!D16+'Dia 18'!D16+'Dia 19'!D16+'Dia 20'!D16+'Dia 21'!D16+'Dia 22'!D16+'Dia 23'!D16+'Dia 25'!D16+'Dia 25'!D16+'Dia 26'!D16+'Dia 27'!D16+'Dia 28'!D16+'Dia 29'!D16+'Dia 30'!D16+'Dia 31'!D16</f>
        <v>0.51105882352941179</v>
      </c>
      <c r="E14" s="7">
        <f t="shared" si="0"/>
        <v>5.6605951226834064E-4</v>
      </c>
    </row>
    <row r="15" spans="2:11" x14ac:dyDescent="0.2">
      <c r="B15" s="3" t="s">
        <v>6</v>
      </c>
      <c r="C15" s="4">
        <f>+'Dia 1'!C17+'Dia 2'!C17+'Dia 3'!C17+'Dia 4'!C17+'Dia 5'!C17+'Dia 6'!C17+'Dia 7'!C17+'Dia 8'!C17+'Dia 9'!C17+'Dia 10'!C17+'Dia 11'!C17+'Dia 12'!C17+'Dia 13'!C17+'Dia 14'!C17+'Dia 15'!C17+'Dia 16'!C17+'Dia 17'!C17+'Dia 18'!C17+'Dia 19'!C17+'Dia 20'!C17+'Dia 21'!C17+'Dia 22'!C17+'Dia 23'!C17+'Dia 25'!C17+'Dia 25'!C17+'Dia 26'!C17+'Dia 27'!C17+'Dia 28'!C17+'Dia 29'!C17+'Dia 30'!C17+'Dia 31'!C17</f>
        <v>0</v>
      </c>
      <c r="D15" s="4">
        <f>+'Dia 1'!D17+'Dia 2'!D17+'Dia 3'!D17+'Dia 4'!D17+'Dia 5'!D17+'Dia 6'!D17+'Dia 7'!D17+'Dia 8'!D17+'Dia 9'!D17+'Dia 10'!D17+'Dia 11'!D17+'Dia 12'!D17+'Dia 13'!D17+'Dia 14'!D17+'Dia 15'!D17+'Dia 16'!D17+'Dia 17'!D17+'Dia 18'!D17+'Dia 19'!D17+'Dia 20'!D17+'Dia 21'!D17+'Dia 22'!D17+'Dia 23'!D17+'Dia 25'!D17+'Dia 25'!D17+'Dia 26'!D17+'Dia 27'!D17+'Dia 28'!D17+'Dia 29'!D17+'Dia 30'!D17+'Dia 31'!D17</f>
        <v>0</v>
      </c>
      <c r="E15" s="7">
        <f t="shared" si="0"/>
        <v>0</v>
      </c>
    </row>
    <row r="16" spans="2:11" x14ac:dyDescent="0.2">
      <c r="B16" s="3" t="s">
        <v>83</v>
      </c>
      <c r="C16" s="4">
        <f>+'Dia 1'!C18+'Dia 2'!C18+'Dia 3'!C18+'Dia 4'!C18+'Dia 5'!C18+'Dia 6'!C18+'Dia 7'!C18+'Dia 8'!C18+'Dia 9'!C18+'Dia 10'!C18+'Dia 11'!C18+'Dia 12'!C18+'Dia 13'!C18+'Dia 14'!C18+'Dia 15'!C18+'Dia 16'!C18+'Dia 17'!C18+'Dia 18'!C18+'Dia 19'!C18+'Dia 20'!C18+'Dia 21'!C18+'Dia 22'!C18+'Dia 23'!C18+'Dia 25'!C18+'Dia 25'!C18+'Dia 26'!C18+'Dia 27'!C18+'Dia 28'!C18+'Dia 29'!C18+'Dia 30'!C18+'Dia 31'!C18</f>
        <v>0</v>
      </c>
      <c r="D16" s="4">
        <f>+'Dia 1'!D18+'Dia 2'!D18+'Dia 3'!D18+'Dia 4'!D18+'Dia 5'!D18+'Dia 6'!D18+'Dia 7'!D18+'Dia 8'!D18+'Dia 9'!D18+'Dia 10'!D18+'Dia 11'!D18+'Dia 12'!D18+'Dia 13'!D18+'Dia 14'!D18+'Dia 15'!D18+'Dia 16'!D18+'Dia 17'!D18+'Dia 18'!D18+'Dia 19'!D18+'Dia 20'!D18+'Dia 21'!D18+'Dia 22'!D18+'Dia 23'!D18+'Dia 25'!D18+'Dia 25'!D18+'Dia 26'!D18+'Dia 27'!D18+'Dia 28'!D18+'Dia 29'!D18+'Dia 30'!D18+'Dia 31'!D18</f>
        <v>0</v>
      </c>
      <c r="E16" s="7">
        <f t="shared" si="0"/>
        <v>0</v>
      </c>
    </row>
    <row r="17" spans="2:5" x14ac:dyDescent="0.2">
      <c r="B17" s="3" t="s">
        <v>8</v>
      </c>
      <c r="C17" s="4">
        <f>+'Dia 1'!C19+'Dia 2'!C19+'Dia 3'!C19+'Dia 4'!C19+'Dia 5'!C19+'Dia 6'!C19+'Dia 7'!C19+'Dia 8'!C19+'Dia 9'!C19+'Dia 10'!C19+'Dia 11'!C19+'Dia 12'!C19+'Dia 13'!C19+'Dia 14'!C19+'Dia 15'!C19+'Dia 16'!C19+'Dia 17'!C19+'Dia 18'!C19+'Dia 19'!C19+'Dia 20'!C19+'Dia 21'!C19+'Dia 22'!C19+'Dia 23'!C19+'Dia 25'!C19+'Dia 25'!C19+'Dia 26'!C19+'Dia 27'!C19+'Dia 28'!C19+'Dia 29'!C19+'Dia 30'!C19+'Dia 31'!C19</f>
        <v>344.7</v>
      </c>
      <c r="D17" s="4">
        <f>+'Dia 1'!D19+'Dia 2'!D19+'Dia 3'!D19+'Dia 4'!D19+'Dia 5'!D19+'Dia 6'!D19+'Dia 7'!D19+'Dia 8'!D19+'Dia 9'!D19+'Dia 10'!D19+'Dia 11'!D19+'Dia 12'!D19+'Dia 13'!D19+'Dia 14'!D19+'Dia 15'!D19+'Dia 16'!D19+'Dia 17'!D19+'Dia 18'!D19+'Dia 19'!D19+'Dia 20'!D19+'Dia 21'!D19+'Dia 22'!D19+'Dia 23'!D19+'Dia 25'!D19+'Dia 25'!D19+'Dia 26'!D19+'Dia 27'!D19+'Dia 28'!D19+'Dia 29'!D19+'Dia 30'!D19+'Dia 31'!D19</f>
        <v>0.67588235294117638</v>
      </c>
      <c r="E17" s="7">
        <f t="shared" si="0"/>
        <v>7.4862152347643103E-4</v>
      </c>
    </row>
    <row r="18" spans="2:5" x14ac:dyDescent="0.2">
      <c r="B18" s="3" t="s">
        <v>9</v>
      </c>
      <c r="C18" s="4">
        <f>+'Dia 1'!C20+'Dia 2'!C20+'Dia 3'!C20+'Dia 4'!C20+'Dia 5'!C20+'Dia 6'!C20+'Dia 7'!C20+'Dia 8'!C20+'Dia 9'!C20+'Dia 10'!C20+'Dia 11'!C20+'Dia 12'!C20+'Dia 13'!C20+'Dia 14'!C20+'Dia 15'!C20+'Dia 16'!C20+'Dia 17'!C20+'Dia 18'!C20+'Dia 19'!C20+'Dia 20'!C20+'Dia 21'!C20+'Dia 22'!C20+'Dia 23'!C20+'Dia 25'!C20+'Dia 25'!C20+'Dia 26'!C20+'Dia 27'!C20+'Dia 28'!C20+'Dia 29'!C20+'Dia 30'!C20+'Dia 31'!C20</f>
        <v>0</v>
      </c>
      <c r="D18" s="4">
        <f>+'Dia 1'!D20+'Dia 2'!D20+'Dia 3'!D20+'Dia 4'!D20+'Dia 5'!D20+'Dia 6'!D20+'Dia 7'!D20+'Dia 8'!D20+'Dia 9'!D20+'Dia 10'!D20+'Dia 11'!D20+'Dia 12'!D20+'Dia 13'!D20+'Dia 14'!D20+'Dia 15'!D20+'Dia 16'!D20+'Dia 17'!D20+'Dia 18'!D20+'Dia 19'!D20+'Dia 20'!D20+'Dia 21'!D20+'Dia 22'!D20+'Dia 23'!D20+'Dia 25'!D20+'Dia 25'!D20+'Dia 26'!D20+'Dia 27'!D20+'Dia 28'!D20+'Dia 29'!D20+'Dia 30'!D20+'Dia 31'!D20</f>
        <v>140</v>
      </c>
      <c r="E18" s="35">
        <f t="shared" si="0"/>
        <v>0.15506694742157581</v>
      </c>
    </row>
    <row r="19" spans="2:5" x14ac:dyDescent="0.2">
      <c r="B19" s="30" t="s">
        <v>98</v>
      </c>
      <c r="C19" s="4">
        <f>+'Dia 1'!C21+'Dia 2'!C21+'Dia 3'!C21+'Dia 4'!C21+'Dia 5'!C21+'Dia 6'!C21+'Dia 7'!C21+'Dia 8'!C21+'Dia 9'!C21+'Dia 10'!C21+'Dia 11'!C21+'Dia 12'!C21+'Dia 13'!C21+'Dia 14'!C21+'Dia 15'!C21+'Dia 16'!C21+'Dia 17'!C21+'Dia 18'!C21+'Dia 19'!C21+'Dia 20'!C21+'Dia 21'!C21+'Dia 22'!C21+'Dia 23'!C21+'Dia 25'!C21+'Dia 25'!C21+'Dia 26'!C21+'Dia 27'!C21+'Dia 28'!C21+'Dia 29'!C21+'Dia 30'!C21+'Dia 31'!C21</f>
        <v>0</v>
      </c>
      <c r="D19" s="4">
        <f>+'Dia 1'!D21+'Dia 2'!D21+'Dia 3'!D21+'Dia 4'!D21+'Dia 5'!D21+'Dia 6'!D21+'Dia 7'!D21+'Dia 8'!D21+'Dia 9'!D21+'Dia 10'!D21+'Dia 11'!D21+'Dia 12'!D21+'Dia 13'!D21+'Dia 14'!D21+'Dia 15'!D21+'Dia 16'!D21+'Dia 17'!D21+'Dia 18'!D21+'Dia 19'!D21+'Dia 20'!D21+'Dia 21'!D21+'Dia 22'!D21+'Dia 23'!D21+'Dia 25'!D21+'Dia 25'!D21+'Dia 26'!D21+'Dia 27'!D21+'Dia 28'!D21+'Dia 29'!D21+'Dia 30'!D21+'Dia 31'!D21</f>
        <v>40</v>
      </c>
      <c r="E19" s="7">
        <f t="shared" si="0"/>
        <v>4.4304842120450237E-2</v>
      </c>
    </row>
    <row r="20" spans="2:5" x14ac:dyDescent="0.2">
      <c r="B20" s="30" t="s">
        <v>99</v>
      </c>
      <c r="C20" s="4">
        <f>+'Dia 1'!C22+'Dia 2'!C22+'Dia 3'!C22+'Dia 4'!C22+'Dia 5'!C22+'Dia 6'!C22+'Dia 7'!C22+'Dia 8'!C22+'Dia 9'!C22+'Dia 10'!C22+'Dia 11'!C22+'Dia 12'!C22+'Dia 13'!C22+'Dia 14'!C22+'Dia 15'!C22+'Dia 16'!C22+'Dia 17'!C22+'Dia 18'!C22+'Dia 19'!C22+'Dia 20'!C22+'Dia 21'!C22+'Dia 22'!C22+'Dia 23'!C22+'Dia 25'!C22+'Dia 25'!C22+'Dia 26'!C22+'Dia 27'!C22+'Dia 28'!C22+'Dia 29'!C22+'Dia 30'!C22+'Dia 31'!C22</f>
        <v>0</v>
      </c>
      <c r="D20" s="4">
        <f>+'Dia 1'!D22+'Dia 2'!D22+'Dia 3'!D22+'Dia 4'!D22+'Dia 5'!D22+'Dia 6'!D22+'Dia 7'!D22+'Dia 8'!D22+'Dia 9'!D22+'Dia 10'!D22+'Dia 11'!D22+'Dia 12'!D22+'Dia 13'!D22+'Dia 14'!D22+'Dia 15'!D22+'Dia 16'!D22+'Dia 17'!D22+'Dia 18'!D22+'Dia 19'!D22+'Dia 20'!D22+'Dia 21'!D22+'Dia 22'!D22+'Dia 23'!D22+'Dia 25'!D22+'Dia 25'!D22+'Dia 26'!D22+'Dia 27'!D22+'Dia 28'!D22+'Dia 29'!D22+'Dia 30'!D22+'Dia 31'!D22</f>
        <v>100</v>
      </c>
      <c r="E20" s="7">
        <f t="shared" si="0"/>
        <v>0.11076210530112558</v>
      </c>
    </row>
    <row r="21" spans="2:5" x14ac:dyDescent="0.2">
      <c r="B21" s="30" t="s">
        <v>100</v>
      </c>
      <c r="C21" s="4">
        <f>+'Dia 1'!C23+'Dia 2'!C23+'Dia 3'!C23+'Dia 4'!C23+'Dia 5'!C23+'Dia 6'!C23+'Dia 7'!C23+'Dia 8'!C23+'Dia 9'!C23+'Dia 10'!C23+'Dia 11'!C23+'Dia 12'!C23+'Dia 13'!C23+'Dia 14'!C23+'Dia 15'!C23+'Dia 16'!C23+'Dia 17'!C23+'Dia 18'!C23+'Dia 19'!C23+'Dia 20'!C23+'Dia 21'!C23+'Dia 22'!C23+'Dia 23'!C23+'Dia 25'!C23+'Dia 25'!C23+'Dia 26'!C23+'Dia 27'!C23+'Dia 28'!C23+'Dia 29'!C23+'Dia 30'!C23+'Dia 31'!C23</f>
        <v>0</v>
      </c>
      <c r="D21" s="4">
        <f>+'Dia 1'!D23+'Dia 2'!D23+'Dia 3'!D23+'Dia 4'!D23+'Dia 5'!D23+'Dia 6'!D23+'Dia 7'!D23+'Dia 8'!D23+'Dia 9'!D23+'Dia 10'!D23+'Dia 11'!D23+'Dia 12'!D23+'Dia 13'!D23+'Dia 14'!D23+'Dia 15'!D23+'Dia 16'!D23+'Dia 17'!D23+'Dia 18'!D23+'Dia 19'!D23+'Dia 20'!D23+'Dia 21'!D23+'Dia 22'!D23+'Dia 23'!D23+'Dia 25'!D23+'Dia 25'!D23+'Dia 26'!D23+'Dia 27'!D23+'Dia 28'!D23+'Dia 29'!D23+'Dia 30'!D23+'Dia 31'!D23</f>
        <v>0</v>
      </c>
      <c r="E21" s="7">
        <f t="shared" si="0"/>
        <v>0</v>
      </c>
    </row>
    <row r="22" spans="2:5" x14ac:dyDescent="0.2">
      <c r="B22" s="3" t="s">
        <v>10</v>
      </c>
      <c r="C22" s="4">
        <f>+'Dia 1'!C24+'Dia 2'!C24+'Dia 3'!C24+'Dia 4'!C24+'Dia 5'!C24+'Dia 6'!C24+'Dia 7'!C24+'Dia 8'!C24+'Dia 9'!C24+'Dia 10'!C24+'Dia 11'!C24+'Dia 12'!C24+'Dia 13'!C24+'Dia 14'!C24+'Dia 15'!C24+'Dia 16'!C24+'Dia 17'!C24+'Dia 18'!C24+'Dia 19'!C24+'Dia 20'!C24+'Dia 21'!C24+'Dia 22'!C24+'Dia 23'!C24+'Dia 25'!C24+'Dia 25'!C24+'Dia 26'!C24+'Dia 27'!C24+'Dia 28'!C24+'Dia 29'!C24+'Dia 30'!C24+'Dia 31'!C24</f>
        <v>0</v>
      </c>
      <c r="D22" s="4">
        <f>+'Dia 1'!D24+'Dia 2'!D24+'Dia 3'!D24+'Dia 4'!D24+'Dia 5'!D24+'Dia 6'!D24+'Dia 7'!D24+'Dia 8'!D24+'Dia 9'!D24+'Dia 10'!D24+'Dia 11'!D24+'Dia 12'!D24+'Dia 13'!D24+'Dia 14'!D24+'Dia 15'!D24+'Dia 16'!D24+'Dia 17'!D24+'Dia 18'!D24+'Dia 19'!D24+'Dia 20'!D24+'Dia 21'!D24+'Dia 22'!D24+'Dia 23'!D24+'Dia 25'!D24+'Dia 25'!D24+'Dia 26'!D24+'Dia 27'!D24+'Dia 28'!D24+'Dia 29'!D24+'Dia 30'!D24+'Dia 31'!D24</f>
        <v>0</v>
      </c>
      <c r="E22" s="7">
        <f t="shared" si="0"/>
        <v>0</v>
      </c>
    </row>
    <row r="23" spans="2:5" x14ac:dyDescent="0.2">
      <c r="B23" s="3" t="s">
        <v>11</v>
      </c>
      <c r="C23" s="4">
        <f>+'Dia 1'!C25+'Dia 2'!C25+'Dia 3'!C25+'Dia 4'!C25+'Dia 5'!C25+'Dia 6'!C25+'Dia 7'!C25+'Dia 8'!C25+'Dia 9'!C25+'Dia 10'!C25+'Dia 11'!C25+'Dia 12'!C25+'Dia 13'!C25+'Dia 14'!C25+'Dia 15'!C25+'Dia 16'!C25+'Dia 17'!C25+'Dia 18'!C25+'Dia 19'!C25+'Dia 20'!C25+'Dia 21'!C25+'Dia 22'!C25+'Dia 23'!C25+'Dia 25'!C25+'Dia 25'!C25+'Dia 26'!C25+'Dia 27'!C25+'Dia 28'!C25+'Dia 29'!C25+'Dia 30'!C25+'Dia 31'!C25</f>
        <v>2000</v>
      </c>
      <c r="D23" s="4">
        <f>+'Dia 1'!D25+'Dia 2'!D25+'Dia 3'!D25+'Dia 4'!D25+'Dia 5'!D25+'Dia 6'!D25+'Dia 7'!D25+'Dia 8'!D25+'Dia 9'!D25+'Dia 10'!D25+'Dia 11'!D25+'Dia 12'!D25+'Dia 13'!D25+'Dia 14'!D25+'Dia 15'!D25+'Dia 16'!D25+'Dia 17'!D25+'Dia 18'!D25+'Dia 19'!D25+'Dia 20'!D25+'Dia 21'!D25+'Dia 22'!D25+'Dia 23'!D25+'Dia 25'!D25+'Dia 25'!D25+'Dia 26'!D25+'Dia 27'!D25+'Dia 28'!D25+'Dia 29'!D25+'Dia 30'!D25+'Dia 31'!D25</f>
        <v>83.921568627450981</v>
      </c>
      <c r="E23" s="7">
        <f t="shared" si="0"/>
        <v>9.295329621349363E-2</v>
      </c>
    </row>
    <row r="24" spans="2:5" x14ac:dyDescent="0.2">
      <c r="B24" s="3" t="s">
        <v>23</v>
      </c>
      <c r="C24" s="4">
        <f>+'Dia 1'!C26+'Dia 2'!C26+'Dia 3'!C26+'Dia 4'!C26+'Dia 5'!C26+'Dia 6'!C26+'Dia 7'!C26+'Dia 8'!C26+'Dia 9'!C26+'Dia 10'!C26+'Dia 11'!C26+'Dia 12'!C26+'Dia 13'!C26+'Dia 14'!C26+'Dia 15'!C26+'Dia 16'!C26+'Dia 17'!C26+'Dia 18'!C26+'Dia 19'!C26+'Dia 20'!C26+'Dia 21'!C26+'Dia 22'!C26+'Dia 23'!C26+'Dia 25'!C26+'Dia 25'!C26+'Dia 26'!C26+'Dia 27'!C26+'Dia 28'!C26+'Dia 29'!C26+'Dia 30'!C26+'Dia 31'!C26</f>
        <v>3900</v>
      </c>
      <c r="D24" s="4">
        <f>+'Dia 1'!D26+'Dia 2'!D26+'Dia 3'!D26+'Dia 4'!D26+'Dia 5'!D26+'Dia 6'!D26+'Dia 7'!D26+'Dia 8'!D26+'Dia 9'!D26+'Dia 10'!D26+'Dia 11'!D26+'Dia 12'!D26+'Dia 13'!D26+'Dia 14'!D26+'Dia 15'!D26+'Dia 16'!D26+'Dia 17'!D26+'Dia 18'!D26+'Dia 19'!D26+'Dia 20'!D26+'Dia 21'!D26+'Dia 22'!D26+'Dia 23'!D26+'Dia 25'!D26+'Dia 25'!D26+'Dia 26'!D26+'Dia 27'!D26+'Dia 28'!D26+'Dia 29'!D26+'Dia 30'!D26+'Dia 31'!D26</f>
        <v>104.24757281553397</v>
      </c>
      <c r="E24" s="7">
        <f t="shared" si="0"/>
        <v>0.11546680637580931</v>
      </c>
    </row>
    <row r="25" spans="2:5" x14ac:dyDescent="0.2">
      <c r="B25" s="3" t="s">
        <v>7</v>
      </c>
      <c r="C25" s="4">
        <f>+'Dia 1'!C27+'Dia 2'!C27+'Dia 3'!C27+'Dia 4'!C27+'Dia 5'!C27+'Dia 6'!C27+'Dia 7'!C27+'Dia 8'!C27+'Dia 9'!C27+'Dia 10'!C27+'Dia 11'!C27+'Dia 12'!C27+'Dia 13'!C27+'Dia 14'!C27+'Dia 15'!C27+'Dia 16'!C27+'Dia 17'!C27+'Dia 18'!C27+'Dia 19'!C27+'Dia 20'!C27+'Dia 21'!C27+'Dia 22'!C27+'Dia 23'!C27+'Dia 25'!C27+'Dia 25'!C27+'Dia 26'!C27+'Dia 27'!C27+'Dia 28'!C27+'Dia 29'!C27+'Dia 30'!C27+'Dia 31'!C27</f>
        <v>3100</v>
      </c>
      <c r="D25" s="4">
        <f>+'Dia 1'!D27+'Dia 2'!D27+'Dia 3'!D27+'Dia 4'!D27+'Dia 5'!D27+'Dia 6'!D27+'Dia 7'!D27+'Dia 8'!D27+'Dia 9'!D27+'Dia 10'!D27+'Dia 11'!D27+'Dia 12'!D27+'Dia 13'!D27+'Dia 14'!D27+'Dia 15'!D27+'Dia 16'!D27+'Dia 17'!D27+'Dia 18'!D27+'Dia 19'!D27+'Dia 20'!D27+'Dia 21'!D27+'Dia 22'!D27+'Dia 23'!D27+'Dia 25'!D27+'Dia 25'!D27+'Dia 26'!D27+'Dia 27'!D27+'Dia 28'!D27+'Dia 29'!D27+'Dia 30'!D27+'Dia 31'!D27</f>
        <v>6.0784313725490193</v>
      </c>
      <c r="E25" s="7">
        <f t="shared" si="0"/>
        <v>6.7325985575193981E-3</v>
      </c>
    </row>
    <row r="26" spans="2:5" x14ac:dyDescent="0.2">
      <c r="B26" s="3" t="s">
        <v>47</v>
      </c>
      <c r="C26" s="4">
        <f>+'Dia 1'!C28+'Dia 2'!C28+'Dia 3'!C28+'Dia 4'!C28+'Dia 5'!C28+'Dia 6'!C28+'Dia 7'!C28+'Dia 8'!C28+'Dia 9'!C28+'Dia 10'!C28+'Dia 11'!C28+'Dia 12'!C28+'Dia 13'!C28+'Dia 14'!C28+'Dia 15'!C28+'Dia 16'!C28+'Dia 17'!C28+'Dia 18'!C28+'Dia 19'!C28+'Dia 20'!C28+'Dia 21'!C28+'Dia 22'!C28+'Dia 23'!C28+'Dia 25'!C28+'Dia 25'!C28+'Dia 26'!C28+'Dia 27'!C28+'Dia 28'!C28+'Dia 29'!C28+'Dia 30'!C28+'Dia 31'!C28</f>
        <v>0</v>
      </c>
      <c r="D26" s="4">
        <f>+'Dia 1'!D28+'Dia 2'!D28+'Dia 3'!D28+'Dia 4'!D28+'Dia 5'!D28+'Dia 6'!D28+'Dia 7'!D28+'Dia 8'!D28+'Dia 9'!D28+'Dia 10'!D28+'Dia 11'!D28+'Dia 12'!D28+'Dia 13'!D28+'Dia 14'!D28+'Dia 15'!D28+'Dia 16'!D28+'Dia 17'!D28+'Dia 18'!D28+'Dia 19'!D28+'Dia 20'!D28+'Dia 21'!D28+'Dia 22'!D28+'Dia 23'!D28+'Dia 25'!D28+'Dia 25'!D28+'Dia 26'!D28+'Dia 27'!D28+'Dia 28'!D28+'Dia 29'!D28+'Dia 30'!D28+'Dia 31'!D28</f>
        <v>0</v>
      </c>
      <c r="E26" s="7">
        <f t="shared" si="0"/>
        <v>0</v>
      </c>
    </row>
    <row r="27" spans="2:5" x14ac:dyDescent="0.2">
      <c r="B27" s="3" t="s">
        <v>50</v>
      </c>
      <c r="C27" s="4">
        <f>+'Dia 1'!C29+'Dia 2'!C29+'Dia 3'!C29+'Dia 4'!C29+'Dia 5'!C29+'Dia 6'!C29+'Dia 7'!C29+'Dia 8'!C29+'Dia 9'!C29+'Dia 10'!C29+'Dia 11'!C29+'Dia 12'!C29+'Dia 13'!C29+'Dia 14'!C29+'Dia 15'!C29+'Dia 16'!C29+'Dia 17'!C29+'Dia 18'!C29+'Dia 19'!C29+'Dia 20'!C29+'Dia 21'!C29+'Dia 22'!C29+'Dia 23'!C29+'Dia 25'!C29+'Dia 25'!C29+'Dia 26'!C29+'Dia 27'!C29+'Dia 28'!C29+'Dia 29'!C29+'Dia 30'!C29+'Dia 31'!C29</f>
        <v>0</v>
      </c>
      <c r="D27" s="4">
        <f>+'Dia 1'!D29+'Dia 2'!D29+'Dia 3'!D29+'Dia 4'!D29+'Dia 5'!D29+'Dia 6'!D29+'Dia 7'!D29+'Dia 8'!D29+'Dia 9'!D29+'Dia 10'!D29+'Dia 11'!D29+'Dia 12'!D29+'Dia 13'!D29+'Dia 14'!D29+'Dia 15'!D29+'Dia 16'!D29+'Dia 17'!D29+'Dia 18'!D29+'Dia 19'!D29+'Dia 20'!D29+'Dia 21'!D29+'Dia 22'!D29+'Dia 23'!D29+'Dia 25'!D29+'Dia 25'!D29+'Dia 26'!D29+'Dia 27'!D29+'Dia 28'!D29+'Dia 29'!D29+'Dia 30'!D29+'Dia 31'!D29</f>
        <v>0</v>
      </c>
      <c r="E27" s="7">
        <f t="shared" si="0"/>
        <v>0</v>
      </c>
    </row>
    <row r="28" spans="2:5" x14ac:dyDescent="0.2">
      <c r="B28" s="3" t="s">
        <v>108</v>
      </c>
      <c r="C28" s="4">
        <f>'Dia 11'!C52</f>
        <v>46848.909999999996</v>
      </c>
      <c r="D28" s="4">
        <f>'Dia 11'!D52</f>
        <v>91.860607843137245</v>
      </c>
      <c r="E28" s="7">
        <f t="shared" si="0"/>
        <v>0.1017467431894697</v>
      </c>
    </row>
    <row r="29" spans="2:5" x14ac:dyDescent="0.2">
      <c r="B29" s="1" t="s">
        <v>18</v>
      </c>
      <c r="C29" s="2">
        <f>SUM(C8:C10)+C14+C15+C16+C17+C18+C22+C23+C24+C25+C26+C27+C28</f>
        <v>196454.25000000003</v>
      </c>
      <c r="D29" s="2">
        <f>SUM(D8:D10)+D14+D15+D16+D17+D18+D22+D23+D24+D25+D26+D27</f>
        <v>902.83585462855751</v>
      </c>
      <c r="E29" s="35">
        <f t="shared" si="0"/>
        <v>1</v>
      </c>
    </row>
    <row r="30" spans="2:5" x14ac:dyDescent="0.2">
      <c r="B30" s="1" t="s">
        <v>110</v>
      </c>
      <c r="C30" s="2">
        <f>C6-C29</f>
        <v>3962855.3</v>
      </c>
      <c r="D30" s="2">
        <f>D6-D29</f>
        <v>7224.4224637753796</v>
      </c>
    </row>
    <row r="33" spans="2:3" x14ac:dyDescent="0.2">
      <c r="B33" s="36" t="s">
        <v>112</v>
      </c>
      <c r="C33" s="4">
        <f>+D10/D6</f>
        <v>0</v>
      </c>
    </row>
    <row r="34" spans="2:3" x14ac:dyDescent="0.2">
      <c r="B34" s="1" t="s">
        <v>111</v>
      </c>
      <c r="C34" s="4">
        <f>+D29/D6</f>
        <v>0.11108738263974118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Leyenda</vt:lpstr>
      <vt:lpstr>Ventas</vt:lpstr>
      <vt:lpstr>Salario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ivette</dc:creator>
  <cp:lastModifiedBy>Letty</cp:lastModifiedBy>
  <cp:lastPrinted>2024-10-25T21:03:53Z</cp:lastPrinted>
  <dcterms:created xsi:type="dcterms:W3CDTF">2024-10-16T16:45:07Z</dcterms:created>
  <dcterms:modified xsi:type="dcterms:W3CDTF">2026-06-04T10:23:54Z</dcterms:modified>
</cp:coreProperties>
</file>